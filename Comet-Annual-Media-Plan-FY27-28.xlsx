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Assumptions" sheetId="2" state="visible" r:id="rId4"/>
    <sheet name="Q1" sheetId="3" state="visible" r:id="rId5"/>
    <sheet name="Q2" sheetId="4" state="visible" r:id="rId6"/>
    <sheet name="Q3" sheetId="5" state="visible" r:id="rId7"/>
    <sheet name="Q4" sheetId="6" state="visible" r:id="rId8"/>
    <sheet name="Budget" sheetId="7" state="visible" r:id="rId9"/>
    <sheet name="Flighting" sheetId="8" state="visible" r:id="rId10"/>
    <sheet name="Content Calendar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<sst xmlns="http://schemas.openxmlformats.org/spreadsheetml/2006/main" count="973" uniqueCount="416">
  <si>
    <t xml:space="preserve">COMET  —  Annual Media Plan  ·  FY 2027-28</t>
  </si>
  <si>
    <t xml:space="preserve">Earn a movement, not an ad. Turn Rs 29 Cr into Rs 100 Cr.</t>
  </si>
  <si>
    <t xml:space="preserve">Deploy Rs 35 Cr of a Rs 50 Cr war chest  |  reserve Rs 15 Cr  |  blended ROAS ~2.8x  |  north star: share of search</t>
  </si>
  <si>
    <t xml:space="preserve">INVESTMENT SUMMARY</t>
  </si>
  <si>
    <t xml:space="preserve">Investment</t>
  </si>
  <si>
    <t xml:space="preserve">Amount (Rs Cr)</t>
  </si>
  <si>
    <t xml:space="preserve">% deploy</t>
  </si>
  <si>
    <t xml:space="preserve">Why</t>
  </si>
  <si>
    <t xml:space="preserve">Performance / conversion</t>
  </si>
  <si>
    <t xml:space="preserve">Volume engine; harvests Oct-Jan demand on high-intent channels</t>
  </si>
  <si>
    <t xml:space="preserve">Brand amplification</t>
  </si>
  <si>
    <t xml:space="preserve">Fuels the 6-week burst: YouTube, Meta, OTT, anamorphic OOH</t>
  </si>
  <si>
    <t xml:space="preserve">Productions (earned engine)</t>
  </si>
  <si>
    <t xml:space="preserve">Report, film, parties, OOH, sessions, chip, influencers</t>
  </si>
  <si>
    <t xml:space="preserve">Total deploy</t>
  </si>
  <si>
    <t xml:space="preserve">Plus Rs 15 Cr in reserve</t>
  </si>
  <si>
    <t xml:space="preserve">OUTCOME MODEL  (live; honest paid vs brand-driven split)</t>
  </si>
  <si>
    <t xml:space="preserve">Metric</t>
  </si>
  <si>
    <t xml:space="preserve">Value</t>
  </si>
  <si>
    <t xml:space="preserve">Formula / note</t>
  </si>
  <si>
    <t xml:space="preserve">Site visits (paid CPC clicks)</t>
  </si>
  <si>
    <t xml:space="preserve">CPC-channel spend / blended CPC</t>
  </si>
  <si>
    <t xml:space="preserve">Paid orders</t>
  </si>
  <si>
    <t xml:space="preserve">visits x conversion rate</t>
  </si>
  <si>
    <t xml:space="preserve">Paid-channel revenue (Rs)</t>
  </si>
  <si>
    <t xml:space="preserve">orders x AOV (~Rs 58 Cr from paid)</t>
  </si>
  <si>
    <t xml:space="preserve">Blended ROAS (base Rs 85 Cr)</t>
  </si>
  <si>
    <t xml:space="preserve">base revenue / deploy</t>
  </si>
  <si>
    <t xml:space="preserve">Blended ROAS (stretch Rs 100 Cr)</t>
  </si>
  <si>
    <t xml:space="preserve">stretch revenue / deploy</t>
  </si>
  <si>
    <t xml:space="preserve">Fully-loaded CAC at base (Rs)</t>
  </si>
  <si>
    <t xml:space="preserve">deploy / base orders</t>
  </si>
  <si>
    <t xml:space="preserve">Paid CPC channels deliver ~Rs 58 Cr; marketplace, organic, direct and repeat (the brand-driven half) bridge to the Rs 85 Cr base / Rs 100 Cr stretch, which is why ~40% brand spend earns its place. Each quarter sheet = digital + influencer + OOH + (Q4) store-visit; the Budget sheet is the master Rs 35 Cr reconciliation.</t>
  </si>
  <si>
    <t xml:space="preserve">Assumptions &amp; benchmarks</t>
  </si>
  <si>
    <t xml:space="preserve">Inputs are given or sourced. Quarter formulas reference these cells, so changing a value updates the maths.</t>
  </si>
  <si>
    <t xml:space="preserve">Input</t>
  </si>
  <si>
    <t xml:space="preserve">Source / rationale</t>
  </si>
  <si>
    <t xml:space="preserve">Average order value (AOV, Rs)  [B5]</t>
  </si>
  <si>
    <t xml:space="preserve">Real Comet pricing Rs 4,299-5,999 (wearcomet.com)</t>
  </si>
  <si>
    <t xml:space="preserve">Site conversion rate  [B6]</t>
  </si>
  <si>
    <t xml:space="preserve">India D2C footwear benchmark</t>
  </si>
  <si>
    <t xml:space="preserve">Blended performance CPC (Rs)  [B7]</t>
  </si>
  <si>
    <t xml:space="preserve">Blend of Search Rs 25 + Meta Rs 12 + marketplace</t>
  </si>
  <si>
    <t xml:space="preserve">Performance spend (Rs)  [B8]</t>
  </si>
  <si>
    <t xml:space="preserve">Rs 20 Cr of the Rs 35 Cr deploy</t>
  </si>
  <si>
    <t xml:space="preserve">Total deploy (Rs)  [B9]</t>
  </si>
  <si>
    <t xml:space="preserve">Rs 35 Cr of the Rs 50 Cr war chest</t>
  </si>
  <si>
    <t xml:space="preserve">Reserve (Rs)  [B10]</t>
  </si>
  <si>
    <t xml:space="preserve">Held as fuel-on-success</t>
  </si>
  <si>
    <t xml:space="preserve">GST  [B11]</t>
  </si>
  <si>
    <t xml:space="preserve">Net media; gross = net + 18% GST</t>
  </si>
  <si>
    <t xml:space="preserve">FY25 revenue (Rs)  [B12]</t>
  </si>
  <si>
    <t xml:space="preserve">Audited; up ~4x from FY24</t>
  </si>
  <si>
    <t xml:space="preserve">Pairs sold now  [B13]</t>
  </si>
  <si>
    <t xml:space="preserve">Revenue / AOV</t>
  </si>
  <si>
    <t xml:space="preserve">Paid-click spend, CPC channels (Rs)  [B14]</t>
  </si>
  <si>
    <t xml:space="preserve">Sum of Search + Meta + retargeting + IG-consideration lines; drives online orders</t>
  </si>
  <si>
    <t xml:space="preserve">Media benchmarks (used by quarter formulas)</t>
  </si>
  <si>
    <t xml:space="preserve">Display / social CTR  [B16]</t>
  </si>
  <si>
    <t xml:space="preserve">Reels/banner click-through</t>
  </si>
  <si>
    <t xml:space="preserve">Search / CPC landing CTR  [B17]</t>
  </si>
  <si>
    <t xml:space="preserve">Back out impressions from clicks</t>
  </si>
  <si>
    <t xml:space="preserve">Video VTR  [B18]</t>
  </si>
  <si>
    <t xml:space="preserve">View-through rate (YouTube ~31.8%)</t>
  </si>
  <si>
    <t xml:space="preserve">Marketplace CTR  [B19]</t>
  </si>
  <si>
    <t xml:space="preserve">Myntra / PLA</t>
  </si>
  <si>
    <t xml:space="preserve">Store-visit footfall rate  [B20]</t>
  </si>
  <si>
    <t xml:space="preserve">Clicks that become store visits</t>
  </si>
  <si>
    <t xml:space="preserve">Target audience size  [B21]</t>
  </si>
  <si>
    <t xml:space="preserve">Reachable urban Gen Z (for SOI %)</t>
  </si>
  <si>
    <t xml:space="preserve">Platform rate card (sourced, India 2025-26)</t>
  </si>
  <si>
    <t xml:space="preserve">Platform / buy type</t>
  </si>
  <si>
    <t xml:space="preserve">Rate</t>
  </si>
  <si>
    <t xml:space="preserve">Source</t>
  </si>
  <si>
    <t xml:space="preserve">YouTube CPV (skippable)</t>
  </si>
  <si>
    <t xml:space="preserve">Rs 1.0</t>
  </si>
  <si>
    <t xml:space="preserve">TheDMSchool / OwlClaw: India CPV Rs 0.5-3</t>
  </si>
  <si>
    <t xml:space="preserve">Meta / IG CPM</t>
  </si>
  <si>
    <t xml:space="preserve">Rs 80</t>
  </si>
  <si>
    <t xml:space="preserve">Superads / productgrowth.in: India Rs 50-90</t>
  </si>
  <si>
    <t xml:space="preserve">Meta / IG CPC</t>
  </si>
  <si>
    <t xml:space="preserve">Rs 12</t>
  </si>
  <si>
    <t xml:space="preserve">Superads: India Rs 2-25 (IG Rs 6-55)</t>
  </si>
  <si>
    <t xml:space="preserve">Google Display CPM</t>
  </si>
  <si>
    <t xml:space="preserve">Rs 50</t>
  </si>
  <si>
    <t xml:space="preserve">India GDN Rs 30-80</t>
  </si>
  <si>
    <t xml:space="preserve">Google Search CPC (fashion)</t>
  </si>
  <si>
    <t xml:space="preserve">Rs 25</t>
  </si>
  <si>
    <t xml:space="preserve">OwlClaw / ReuAds: e-comm Rs 15-80, avg Rs 24</t>
  </si>
  <si>
    <t xml:space="preserve">OTT (JioHotstar) CPM</t>
  </si>
  <si>
    <t xml:space="preserve">Rs 250</t>
  </si>
  <si>
    <t xml:space="preserve">Industry estimate Rs 180-300</t>
  </si>
  <si>
    <t xml:space="preserve">Marketplace (Myntra) CPM</t>
  </si>
  <si>
    <t xml:space="preserve">Rs 150</t>
  </si>
  <si>
    <t xml:space="preserve">Directional</t>
  </si>
  <si>
    <t xml:space="preserve">Influencer per reel (by tier)</t>
  </si>
  <si>
    <t xml:space="preserve">see table</t>
  </si>
  <si>
    <t xml:space="preserve">Mid Rs 1-4L; micro Rs 15-75k; nano Rs 2-10k; macro far higher - the.rebel.kid ~Rs 25-30L, Rannvijay ~Rs 15-20L; so lean mid+micro+nano (Idiotic Media / Exchange4media)</t>
  </si>
  <si>
    <t xml:space="preserve">COMET media plan  ·  Q1 (Apr-Jun)</t>
  </si>
  <si>
    <t xml:space="preserve">Estimated</t>
  </si>
  <si>
    <t xml:space="preserve">Platform</t>
  </si>
  <si>
    <t xml:space="preserve">Campaign objective</t>
  </si>
  <si>
    <t xml:space="preserve">AIDA</t>
  </si>
  <si>
    <t xml:space="preserve">Type</t>
  </si>
  <si>
    <t xml:space="preserve">Device</t>
  </si>
  <si>
    <t xml:space="preserve">Targeting</t>
  </si>
  <si>
    <t xml:space="preserve">Geo</t>
  </si>
  <si>
    <t xml:space="preserve">Ad format</t>
  </si>
  <si>
    <t xml:space="preserve">Buy type</t>
  </si>
  <si>
    <t xml:space="preserve">Net rate (Rs)</t>
  </si>
  <si>
    <t xml:space="preserve">Audience / search vol</t>
  </si>
  <si>
    <t xml:space="preserve">Reach % (SOI)</t>
  </si>
  <si>
    <t xml:space="preserve">Est. reach</t>
  </si>
  <si>
    <t xml:space="preserve">Avg freq</t>
  </si>
  <si>
    <t xml:space="preserve">Est. impressions</t>
  </si>
  <si>
    <t xml:space="preserve">Est. clicks</t>
  </si>
  <si>
    <t xml:space="preserve">Est. CTR</t>
  </si>
  <si>
    <t xml:space="preserve">Est. views</t>
  </si>
  <si>
    <t xml:space="preserve">Est. VTR</t>
  </si>
  <si>
    <t xml:space="preserve">Net cost (Rs Cr)</t>
  </si>
  <si>
    <t xml:space="preserve">Rationale</t>
  </si>
  <si>
    <t xml:space="preserve">YouTube</t>
  </si>
  <si>
    <t xml:space="preserve">Awareness</t>
  </si>
  <si>
    <t xml:space="preserve">See</t>
  </si>
  <si>
    <t xml:space="preserve">Branding</t>
  </si>
  <si>
    <t xml:space="preserve">Mobile</t>
  </si>
  <si>
    <t xml:space="preserve">18-30 M/F, interest + LAL</t>
  </si>
  <si>
    <t xml:space="preserve">Top metros + Tier-2</t>
  </si>
  <si>
    <t xml:space="preserve">Skippable in-stream</t>
  </si>
  <si>
    <t xml:space="preserve">CPV</t>
  </si>
  <si>
    <t xml:space="preserve">Seed awareness pre-burst</t>
  </si>
  <si>
    <t xml:space="preserve">Meta / Instagram</t>
  </si>
  <si>
    <t xml:space="preserve">Reels / Stories video</t>
  </si>
  <si>
    <t xml:space="preserve">CPM</t>
  </si>
  <si>
    <t xml:space="preserve">Build brand presence</t>
  </si>
  <si>
    <t xml:space="preserve">Google Display</t>
  </si>
  <si>
    <t xml:space="preserve">Responsive display</t>
  </si>
  <si>
    <t xml:space="preserve">Cheap reach</t>
  </si>
  <si>
    <t xml:space="preserve">Instagram</t>
  </si>
  <si>
    <t xml:space="preserve">Consideration</t>
  </si>
  <si>
    <t xml:space="preserve">Think</t>
  </si>
  <si>
    <t xml:space="preserve">Performance</t>
  </si>
  <si>
    <t xml:space="preserve">Site visitors + add-to-cart</t>
  </si>
  <si>
    <t xml:space="preserve">Image / collection</t>
  </si>
  <si>
    <t xml:space="preserve">CPC</t>
  </si>
  <si>
    <t xml:space="preserve">Warm early interest</t>
  </si>
  <si>
    <t xml:space="preserve">Google Search</t>
  </si>
  <si>
    <t xml:space="preserve">Conversion</t>
  </si>
  <si>
    <t xml:space="preserve">Do</t>
  </si>
  <si>
    <t xml:space="preserve">All</t>
  </si>
  <si>
    <t xml:space="preserve">Brand + category keywords</t>
  </si>
  <si>
    <t xml:space="preserve">Search + Shopping</t>
  </si>
  <si>
    <t xml:space="preserve">Capture existing demand</t>
  </si>
  <si>
    <t xml:space="preserve">Digital subtotal</t>
  </si>
  <si>
    <t xml:space="preserve">QUARTER TOTAL  (digital + influencer + OOH + store)</t>
  </si>
  <si>
    <t xml:space="preserve">Rs Cr</t>
  </si>
  <si>
    <t xml:space="preserve">COMET media plan  ·  Q2 (Jul-Sep)</t>
  </si>
  <si>
    <t xml:space="preserve">State of the Younion + PR</t>
  </si>
  <si>
    <t xml:space="preserve">National</t>
  </si>
  <si>
    <t xml:space="preserve">Native + earned PR</t>
  </si>
  <si>
    <t xml:space="preserve">Flat</t>
  </si>
  <si>
    <t xml:space="preserve">-</t>
  </si>
  <si>
    <t xml:space="preserve">Earn the conversation</t>
  </si>
  <si>
    <t xml:space="preserve">Brand film</t>
  </si>
  <si>
    <t xml:space="preserve">Hero film</t>
  </si>
  <si>
    <t xml:space="preserve">The Real Flex hero</t>
  </si>
  <si>
    <t xml:space="preserve">In-stream + Shorts</t>
  </si>
  <si>
    <t xml:space="preserve">Amplify the film</t>
  </si>
  <si>
    <t xml:space="preserve">Reels / Stories</t>
  </si>
  <si>
    <t xml:space="preserve">Amplify report + film</t>
  </si>
  <si>
    <t xml:space="preserve">Sustain reach</t>
  </si>
  <si>
    <t xml:space="preserve">Sessions + content</t>
  </si>
  <si>
    <t xml:space="preserve">Long-form video</t>
  </si>
  <si>
    <t xml:space="preserve">Hub content</t>
  </si>
  <si>
    <t xml:space="preserve">Drive submissions + waitlist</t>
  </si>
  <si>
    <t xml:space="preserve">Meta retargeting</t>
  </si>
  <si>
    <t xml:space="preserve">DPA carousel</t>
  </si>
  <si>
    <t xml:space="preserve">Re-engage viewers</t>
  </si>
  <si>
    <t xml:space="preserve">Google Search + Shopping</t>
  </si>
  <si>
    <t xml:space="preserve">Search + PLA</t>
  </si>
  <si>
    <t xml:space="preserve">Apex launch intent</t>
  </si>
  <si>
    <t xml:space="preserve">Meta / IG conversion + DPA</t>
  </si>
  <si>
    <t xml:space="preserve">DPA / collection</t>
  </si>
  <si>
    <t xml:space="preserve">Convert + retarget</t>
  </si>
  <si>
    <t xml:space="preserve">Myntra</t>
  </si>
  <si>
    <t xml:space="preserve">Banner + PLA</t>
  </si>
  <si>
    <t xml:space="preserve">Marketplace</t>
  </si>
  <si>
    <t xml:space="preserve">CRM / email</t>
  </si>
  <si>
    <t xml:space="preserve">Loyalty</t>
  </si>
  <si>
    <t xml:space="preserve">Care</t>
  </si>
  <si>
    <t xml:space="preserve">Retention</t>
  </si>
  <si>
    <t xml:space="preserve">Waitlist</t>
  </si>
  <si>
    <t xml:space="preserve">Email</t>
  </si>
  <si>
    <t xml:space="preserve">Nurture waitlist</t>
  </si>
  <si>
    <t xml:space="preserve">Influencer marketing (direct partnerships)</t>
  </si>
  <si>
    <t xml:space="preserve">Tier</t>
  </si>
  <si>
    <t xml:space="preserve">Example creators / handles</t>
  </si>
  <si>
    <t xml:space="preserve">Deliverables</t>
  </si>
  <si>
    <t xml:space="preserve"># creators</t>
  </si>
  <si>
    <t xml:space="preserve">Rate / creator (Rs)</t>
  </si>
  <si>
    <t xml:space="preserve">Net cost (Rs)</t>
  </si>
  <si>
    <t xml:space="preserve">Mid-tier (100k-1M)</t>
  </si>
  <si>
    <t xml:space="preserve">Karan Khatri, Suhana Sethi + relatable fashion</t>
  </si>
  <si>
    <t xml:space="preserve">IG / YouTube</t>
  </si>
  <si>
    <t xml:space="preserve">2 Reels each</t>
  </si>
  <si>
    <t xml:space="preserve">Micro (10-100k)</t>
  </si>
  <si>
    <t xml:space="preserve">Fashion + sneaker micro pool</t>
  </si>
  <si>
    <t xml:space="preserve">1 Reel + 2 Stories</t>
  </si>
  <si>
    <t xml:space="preserve">Nano / UGC (1-10k)</t>
  </si>
  <si>
    <t xml:space="preserve">Campus + sneakerhead nano</t>
  </si>
  <si>
    <t xml:space="preserve">1 Reel</t>
  </si>
  <si>
    <t xml:space="preserve">Influencer subtotal (Rs)</t>
  </si>
  <si>
    <t xml:space="preserve">Out-of-home (this quarter)</t>
  </si>
  <si>
    <t xml:space="preserve">Market</t>
  </si>
  <si>
    <t xml:space="preserve">Location</t>
  </si>
  <si>
    <t xml:space="preserve">Format</t>
  </si>
  <si>
    <t xml:space="preserve">Dimension</t>
  </si>
  <si>
    <t xml:space="preserve">Slots/day</t>
  </si>
  <si>
    <t xml:space="preserve">Days</t>
  </si>
  <si>
    <t xml:space="preserve">Rate/slot (Rs)</t>
  </si>
  <si>
    <t xml:space="preserve">Cost (Rs)</t>
  </si>
  <si>
    <t xml:space="preserve">Mumbai</t>
  </si>
  <si>
    <t xml:space="preserve">BKC premium screen</t>
  </si>
  <si>
    <t xml:space="preserve">Anamorphic 3D DOOH</t>
  </si>
  <si>
    <t xml:space="preserve">20x12 ft</t>
  </si>
  <si>
    <t xml:space="preserve">CGI artist commission</t>
  </si>
  <si>
    <t xml:space="preserve">Anamorphic creative (one-off)</t>
  </si>
  <si>
    <t xml:space="preserve">OOH subtotal (Rs)</t>
  </si>
  <si>
    <t xml:space="preserve">COMET media plan  ·  Q3 (Oct-Dec, festive peak)</t>
  </si>
  <si>
    <t xml:space="preserve">Festive reach</t>
  </si>
  <si>
    <t xml:space="preserve">OTT (JioHotstar)</t>
  </si>
  <si>
    <t xml:space="preserve">CTV + mobile</t>
  </si>
  <si>
    <t xml:space="preserve">Non-skippable pre-roll</t>
  </si>
  <si>
    <t xml:space="preserve">Premium festive video</t>
  </si>
  <si>
    <t xml:space="preserve">Push to peak</t>
  </si>
  <si>
    <t xml:space="preserve">Re-engage hunt</t>
  </si>
  <si>
    <t xml:space="preserve">Festive capture</t>
  </si>
  <si>
    <t xml:space="preserve">Peak conversion</t>
  </si>
  <si>
    <t xml:space="preserve">Big Fashion Festival</t>
  </si>
  <si>
    <t xml:space="preserve">Parties / events</t>
  </si>
  <si>
    <t xml:space="preserve">On-ground</t>
  </si>
  <si>
    <t xml:space="preserve">Apex buyers + scene</t>
  </si>
  <si>
    <t xml:space="preserve">Mum/Blr/NCR</t>
  </si>
  <si>
    <t xml:space="preserve">Experiential + kiosk</t>
  </si>
  <si>
    <t xml:space="preserve">The Moment</t>
  </si>
  <si>
    <t xml:space="preserve">Chip sessions (Boiler Room)</t>
  </si>
  <si>
    <t xml:space="preserve">Chip holders</t>
  </si>
  <si>
    <t xml:space="preserve">Party cities</t>
  </si>
  <si>
    <t xml:space="preserve">Experiential + video</t>
  </si>
  <si>
    <t xml:space="preserve">Loyalty ritual</t>
  </si>
  <si>
    <t xml:space="preserve">Buyers</t>
  </si>
  <si>
    <t xml:space="preserve">Lifecycle</t>
  </si>
  <si>
    <t xml:space="preserve">Karan Khatri, sneakerpreacher.in, Suhana Sethi + relatable</t>
  </si>
  <si>
    <t xml:space="preserve">Campus + party UGC</t>
  </si>
  <si>
    <t xml:space="preserve">Bandra wall</t>
  </si>
  <si>
    <t xml:space="preserve">Permitted mural + QR cipher</t>
  </si>
  <si>
    <t xml:space="preserve">Large wall</t>
  </si>
  <si>
    <t xml:space="preserve">Andheri wall</t>
  </si>
  <si>
    <t xml:space="preserve">Lower Parel wall</t>
  </si>
  <si>
    <t xml:space="preserve">Bengaluru</t>
  </si>
  <si>
    <t xml:space="preserve">Indiranagar wall</t>
  </si>
  <si>
    <t xml:space="preserve">Koramangala wall</t>
  </si>
  <si>
    <t xml:space="preserve">HSR wall</t>
  </si>
  <si>
    <t xml:space="preserve">Delhi NCR</t>
  </si>
  <si>
    <t xml:space="preserve">Hauz Khas wall</t>
  </si>
  <si>
    <t xml:space="preserve">GK wall</t>
  </si>
  <si>
    <t xml:space="preserve">Gurgaon wall</t>
  </si>
  <si>
    <t xml:space="preserve">COMET media plan  ·  Q4 (Jan-Mar)</t>
  </si>
  <si>
    <t xml:space="preserve">Sustain</t>
  </si>
  <si>
    <t xml:space="preserve">Sustain interest</t>
  </si>
  <si>
    <t xml:space="preserve">EOSS / winter capture</t>
  </si>
  <si>
    <t xml:space="preserve">Convert winter demand</t>
  </si>
  <si>
    <t xml:space="preserve">Parties / events (tail)</t>
  </si>
  <si>
    <t xml:space="preserve">Scene</t>
  </si>
  <si>
    <t xml:space="preserve">Metros</t>
  </si>
  <si>
    <t xml:space="preserve">Experiential</t>
  </si>
  <si>
    <t xml:space="preserve">Year-end spike</t>
  </si>
  <si>
    <t xml:space="preserve">Ongoing loyalty</t>
  </si>
  <si>
    <t xml:space="preserve">Relatable fashion + sneaker</t>
  </si>
  <si>
    <t xml:space="preserve">IG</t>
  </si>
  <si>
    <t xml:space="preserve">Testimonial + UGC</t>
  </si>
  <si>
    <t xml:space="preserve">1 Reel / Story</t>
  </si>
  <si>
    <t xml:space="preserve">Ahmedabad</t>
  </si>
  <si>
    <t xml:space="preserve">Flagship precinct</t>
  </si>
  <si>
    <t xml:space="preserve">Street-art exhibition (install)</t>
  </si>
  <si>
    <t xml:space="preserve">Multi-wall</t>
  </si>
  <si>
    <t xml:space="preserve">Public venue</t>
  </si>
  <si>
    <t xml:space="preserve">Exhibition production + events</t>
  </si>
  <si>
    <t xml:space="preserve">Venue</t>
  </si>
  <si>
    <t xml:space="preserve">Q4 store-visit campaign  ·  Google Performance Max (footfall)</t>
  </si>
  <si>
    <t xml:space="preserve">Separate table: success metric is store footfall, not clicks (the PMax rule). Drives the Ahmedabad flagship + metro stores.</t>
  </si>
  <si>
    <t xml:space="preserve">Objective</t>
  </si>
  <si>
    <t xml:space="preserve">Est. footfall</t>
  </si>
  <si>
    <t xml:space="preserve">Footfall rate</t>
  </si>
  <si>
    <t xml:space="preserve">Cost / footfall (Rs)</t>
  </si>
  <si>
    <t xml:space="preserve">Google PMax</t>
  </si>
  <si>
    <t xml:space="preserve">Store footfall</t>
  </si>
  <si>
    <t xml:space="preserve">5km radius of stores (Ahmedabad + metros)</t>
  </si>
  <si>
    <t xml:space="preserve">Display + Search</t>
  </si>
  <si>
    <t xml:space="preserve">Budget by funnel stage  (Rs Cr, net media; master reconciliation)</t>
  </si>
  <si>
    <t xml:space="preserve">Platform / asset</t>
  </si>
  <si>
    <t xml:space="preserve">Q1</t>
  </si>
  <si>
    <t xml:space="preserve">Q2</t>
  </si>
  <si>
    <t xml:space="preserve">Q3</t>
  </si>
  <si>
    <t xml:space="preserve">Q4</t>
  </si>
  <si>
    <t xml:space="preserve">Total</t>
  </si>
  <si>
    <t xml:space="preserve">SEE  -  awareness</t>
  </si>
  <si>
    <t xml:space="preserve">OOH (anamorphic, graffiti, Ahmedabad expo)</t>
  </si>
  <si>
    <t xml:space="preserve">Flat/CPD</t>
  </si>
  <si>
    <t xml:space="preserve">Reach media (YouTube/Meta/OTT/GDN)</t>
  </si>
  <si>
    <t xml:space="preserve">CPV/CPM</t>
  </si>
  <si>
    <t xml:space="preserve">THINK  -  consideration</t>
  </si>
  <si>
    <t xml:space="preserve">Influencer (direct partnerships)</t>
  </si>
  <si>
    <t xml:space="preserve">Flat/CPM</t>
  </si>
  <si>
    <t xml:space="preserve">Consideration + retargeting</t>
  </si>
  <si>
    <t xml:space="preserve">DO  -  conversion</t>
  </si>
  <si>
    <t xml:space="preserve">Search + Shopping / PMax</t>
  </si>
  <si>
    <t xml:space="preserve">Meta/IG conversion + DPA</t>
  </si>
  <si>
    <t xml:space="preserve">Myntra + marketplace</t>
  </si>
  <si>
    <t xml:space="preserve">CPC/CPM</t>
  </si>
  <si>
    <t xml:space="preserve">PMax store-visit (footfall)</t>
  </si>
  <si>
    <t xml:space="preserve">CARE  -  loyalty</t>
  </si>
  <si>
    <t xml:space="preserve">Chip sessions + Boiler Room</t>
  </si>
  <si>
    <t xml:space="preserve">CRM / email + lifecycle</t>
  </si>
  <si>
    <t xml:space="preserve">Quarter totals</t>
  </si>
  <si>
    <t xml:space="preserve">Flighting  -  spend weight by month (darker = more)</t>
  </si>
  <si>
    <t xml:space="preserve">Channel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</si>
  <si>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</si>
  <si>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</si>
  <si>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</si>
  <si>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</si>
  <si>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</si>
  <si>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</si>
  <si>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</si>
  <si>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</si>
  <si>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</si>
  <si>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Jan</t>
  </si>
  <si>
    <t xml:space="preserve">Feb</t>
  </si>
  <si>
    <t xml:space="preserve">Mar</t>
  </si>
  <si>
    <t xml:space="preserve">Instagram / Meta</t>
  </si>
  <si>
    <t xml:space="preserve">Influencers</t>
  </si>
  <si>
    <t xml:space="preserve">OOH / graffiti / expo</t>
  </si>
  <si>
    <t xml:space="preserve">Report / PR</t>
  </si>
  <si>
    <t xml:space="preserve">Sessions (Boiler Room)</t>
  </si>
  <si>
    <t xml:space="preserve">Email / CRM</t>
  </si>
  <si>
    <t xml:space="preserve">Sep-Oct = the 6-week burst; festive harvest holds Search/Meta/OTT high to January.</t>
  </si>
  <si>
    <t xml:space="preserve">Content calendar  -  Hero / Hub / Hygiene, locked to the media weeks</t>
  </si>
  <si>
    <t xml:space="preserve">Window</t>
  </si>
  <si>
    <t xml:space="preserve">Funnel</t>
  </si>
  <si>
    <t xml:space="preserve">Content piece</t>
  </si>
  <si>
    <t xml:space="preserve">Channels</t>
  </si>
  <si>
    <t xml:space="preserve">PESO</t>
  </si>
  <si>
    <t xml:space="preserve">Persona</t>
  </si>
  <si>
    <t xml:space="preserve">KPI</t>
  </si>
  <si>
    <t xml:space="preserve">Jul-Aug</t>
  </si>
  <si>
    <t xml:space="preserve">State of the Younion report</t>
  </si>
  <si>
    <t xml:space="preserve">Hero</t>
  </si>
  <si>
    <t xml:space="preserve">PR, site, LinkedIn</t>
  </si>
  <si>
    <t xml:space="preserve">Earned/Owned</t>
  </si>
  <si>
    <t xml:space="preserve">Rohan</t>
  </si>
  <si>
    <t xml:space="preserve">Media pickups</t>
  </si>
  <si>
    <t xml:space="preserve">Teaser stats drip</t>
  </si>
  <si>
    <t xml:space="preserve">Hub</t>
  </si>
  <si>
    <t xml:space="preserve">IG, X</t>
  </si>
  <si>
    <t xml:space="preserve">Shared</t>
  </si>
  <si>
    <t xml:space="preserve">Share of search</t>
  </si>
  <si>
    <t xml:space="preserve">The Real Flex brand film</t>
  </si>
  <si>
    <t xml:space="preserve">YouTube, OTT, Meta</t>
  </si>
  <si>
    <t xml:space="preserve">Paid/Owned</t>
  </si>
  <si>
    <t xml:space="preserve">Views, brand lift</t>
  </si>
  <si>
    <t xml:space="preserve">Anamorphic OOH film</t>
  </si>
  <si>
    <t xml:space="preserve">OOH, social</t>
  </si>
  <si>
    <t xml:space="preserve">Earned/Paid</t>
  </si>
  <si>
    <t xml:space="preserve">Sneha, Arjun</t>
  </si>
  <si>
    <t xml:space="preserve">Earned reach</t>
  </si>
  <si>
    <t xml:space="preserve">Sep-Oct</t>
  </si>
  <si>
    <t xml:space="preserve">Graffiti cipher hunt</t>
  </si>
  <si>
    <t xml:space="preserve">OOH, IG, microsite</t>
  </si>
  <si>
    <t xml:space="preserve">Earned/Shared</t>
  </si>
  <si>
    <t xml:space="preserve">Arjun</t>
  </si>
  <si>
    <t xml:space="preserve">Scans, emails</t>
  </si>
  <si>
    <t xml:space="preserve">Creator real-vs-posted</t>
  </si>
  <si>
    <t xml:space="preserve">IG, YouTube</t>
  </si>
  <si>
    <t xml:space="preserve">Shared/Paid</t>
  </si>
  <si>
    <t xml:space="preserve">Sneha</t>
  </si>
  <si>
    <t xml:space="preserve">Submissions</t>
  </si>
  <si>
    <t xml:space="preserve">Apex design story</t>
  </si>
  <si>
    <t xml:space="preserve">IG, YouTube, site</t>
  </si>
  <si>
    <t xml:space="preserve">Owned</t>
  </si>
  <si>
    <t xml:space="preserve">Sep-Jan</t>
  </si>
  <si>
    <t xml:space="preserve">Apex demos + AI fit-finder</t>
  </si>
  <si>
    <t xml:space="preserve">Hygiene</t>
  </si>
  <si>
    <t xml:space="preserve">Site, Search</t>
  </si>
  <si>
    <t xml:space="preserve">Owned/Paid</t>
  </si>
  <si>
    <t xml:space="preserve">Conversion rate</t>
  </si>
  <si>
    <t xml:space="preserve">Search + DPA retargeting</t>
  </si>
  <si>
    <t xml:space="preserve">Search, Meta, Myntra</t>
  </si>
  <si>
    <t xml:space="preserve">Paid</t>
  </si>
  <si>
    <t xml:space="preserve">ROAS, CAC</t>
  </si>
  <si>
    <t xml:space="preserve">Oct-Nov</t>
  </si>
  <si>
    <t xml:space="preserve">Underground party films</t>
  </si>
  <si>
    <t xml:space="preserve">YouTube, IG, PR</t>
  </si>
  <si>
    <t xml:space="preserve">UGC reach</t>
  </si>
  <si>
    <t xml:space="preserve">Oct-Mar</t>
  </si>
  <si>
    <t xml:space="preserve">Recorded sessions / tracks</t>
  </si>
  <si>
    <t xml:space="preserve">YouTube, Spotify</t>
  </si>
  <si>
    <t xml:space="preserve">Owned/Shared</t>
  </si>
  <si>
    <t xml:space="preserve">Arjun, Rohan</t>
  </si>
  <si>
    <t xml:space="preserve">Subs</t>
  </si>
  <si>
    <t xml:space="preserve">Feb-Mar</t>
  </si>
  <si>
    <t xml:space="preserve">Street-art expo (Ahmedabad)</t>
  </si>
  <si>
    <t xml:space="preserve">OOH, PR, social</t>
  </si>
  <si>
    <t xml:space="preserve">Earned</t>
  </si>
  <si>
    <t xml:space="preserve">Tier-2 demand</t>
  </si>
  <si>
    <t xml:space="preserve">CRM / lifecycle flows</t>
  </si>
  <si>
    <t xml:space="preserve">Repeat, LTV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</si>
</sst>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0%"/>
    <numFmt numFmtId="167" formatCode="#,##0"/>
    <numFmt numFmtId="168" formatCode="0.0\x"/>
    <numFmt numFmtId="169" formatCode="0"/>
    <numFmt numFmtId="170" formatCode="0.0%"/>
    <numFmt numFmtId="171" formatCode="0.0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8181B"/>
      <name val="Georgia"/>
      <family val="0"/>
      <charset val="1"/>
    </font>
    <font>
      <b val="true"/>
      <sz val="12"/>
      <color rgb="FF18181B"/>
      <name val="Georgia"/>
      <family val="0"/>
      <charset val="1"/>
    </font>
    <font>
      <sz val="10"/>
      <color rgb="FF6B6B66"/>
      <name val="Georgia"/>
      <family val="0"/>
      <charset val="1"/>
    </font>
    <font>
      <b val="true"/>
      <sz val="11"/>
      <color rgb="FFE8731C"/>
      <name val="Georgia"/>
      <family val="0"/>
      <charset val="1"/>
    </font>
    <font>
      <b val="true"/>
      <sz val="9"/>
      <color rgb="FFFFFFFF"/>
      <name val="Georgia"/>
      <family val="0"/>
      <charset val="1"/>
    </font>
    <font>
      <sz val="11"/>
      <color rgb="FF18181B"/>
      <name val="Georgia"/>
      <family val="0"/>
      <charset val="1"/>
    </font>
    <font>
      <b val="true"/>
      <sz val="11"/>
      <color rgb="FF18181B"/>
      <name val="Georgia"/>
      <family val="0"/>
      <charset val="1"/>
    </font>
    <font>
      <sz val="9"/>
      <color rgb="FF6B6B66"/>
      <name val="Georgia"/>
      <family val="0"/>
      <charset val="1"/>
    </font>
    <font>
      <b val="true"/>
      <sz val="14"/>
      <color rgb="FF18181B"/>
      <name val="Georgia"/>
      <family val="0"/>
      <charset val="1"/>
    </font>
    <font>
      <b val="true"/>
      <sz val="13"/>
      <color rgb="FF18181B"/>
      <name val="Georgia"/>
      <family val="0"/>
      <charset val="1"/>
    </font>
    <font>
      <b val="true"/>
      <sz val="10"/>
      <color rgb="FF8A4612"/>
      <name val="Georgia"/>
      <family val="0"/>
      <charset val="1"/>
    </font>
    <font>
      <sz val="10"/>
      <color rgb="FF18181B"/>
      <name val="Georg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2E500"/>
        <bgColor rgb="FFFFFF00"/>
      </patternFill>
    </fill>
    <fill>
      <patternFill patternType="solid">
        <fgColor rgb="FF18181B"/>
        <bgColor rgb="FF000000"/>
      </patternFill>
    </fill>
    <fill>
      <patternFill patternType="solid">
        <fgColor rgb="FFE8731C"/>
        <bgColor rgb="FFFF9900"/>
      </patternFill>
    </fill>
    <fill>
      <patternFill patternType="solid">
        <fgColor rgb="FFFBF6D9"/>
        <bgColor rgb="FFF1F0EA"/>
      </patternFill>
    </fill>
    <fill>
      <patternFill patternType="solid">
        <fgColor rgb="FFFBE3C6"/>
        <bgColor rgb="FFE6E5DE"/>
      </patternFill>
    </fill>
    <fill>
      <patternFill patternType="solid">
        <fgColor rgb="FFF4B271"/>
        <bgColor rgb="FFFF8080"/>
      </patternFill>
    </fill>
    <fill>
      <patternFill patternType="solid">
        <fgColor rgb="FFF1F0EA"/>
        <bgColor rgb="FFFBF6D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6E5DE"/>
      </bottom>
      <diagonal/>
    </border>
    <border diagonalUp="false" diagonalDown="false">
      <left/>
      <right/>
      <top style="medium">
        <color rgb="FF18181B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10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F6D9"/>
      <rgbColor rgb="FFF1F0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6E5DE"/>
      <rgbColor rgb="FFFFFF99"/>
      <rgbColor rgb="FF99CCFF"/>
      <rgbColor rgb="FFF4B271"/>
      <rgbColor rgb="FFCC99FF"/>
      <rgbColor rgb="FFFBE3C6"/>
      <rgbColor rgb="FF3366FF"/>
      <rgbColor rgb="FF33CCCC"/>
      <rgbColor rgb="FF99CC00"/>
      <rgbColor rgb="FFF2E500"/>
      <rgbColor rgb="FFFF9900"/>
      <rgbColor rgb="FFE8731C"/>
      <rgbColor rgb="FF6B6B66"/>
      <rgbColor rgb="FF969696"/>
      <rgbColor rgb="FF003366"/>
      <rgbColor rgb="FF339966"/>
      <rgbColor rgb="FF18181B"/>
      <rgbColor rgb="FF333300"/>
      <rgbColor rgb="FF8A461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5" min="3" style="0" width="12"/>
    <col collapsed="false" customWidth="true" hidden="false" outlineLevel="0" max="6" min="6" style="0" width="4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  <c r="B6" s="5" t="s">
        <v>5</v>
      </c>
      <c r="C6" s="5" t="s">
        <v>6</v>
      </c>
      <c r="D6" s="5"/>
      <c r="E6" s="5"/>
      <c r="F6" s="5" t="s">
        <v>7</v>
      </c>
    </row>
    <row r="7" customFormat="false" ht="28.35" hidden="false" customHeight="false" outlineLevel="0" collapsed="false">
      <c r="A7" s="6" t="s">
        <v>8</v>
      </c>
      <c r="B7" s="7" t="n">
        <v>20</v>
      </c>
      <c r="C7" s="8" t="n">
        <v>0.57</v>
      </c>
      <c r="F7" s="9" t="s">
        <v>9</v>
      </c>
    </row>
    <row r="8" customFormat="false" ht="28.35" hidden="false" customHeight="false" outlineLevel="0" collapsed="false">
      <c r="A8" s="6" t="s">
        <v>10</v>
      </c>
      <c r="B8" s="7" t="n">
        <v>6</v>
      </c>
      <c r="C8" s="8" t="n">
        <v>0.17</v>
      </c>
      <c r="F8" s="9" t="s">
        <v>11</v>
      </c>
    </row>
    <row r="9" customFormat="false" ht="28.35" hidden="false" customHeight="false" outlineLevel="0" collapsed="false">
      <c r="A9" s="6" t="s">
        <v>12</v>
      </c>
      <c r="B9" s="7" t="n">
        <v>9</v>
      </c>
      <c r="C9" s="8" t="n">
        <v>0.26</v>
      </c>
      <c r="F9" s="9" t="s">
        <v>13</v>
      </c>
    </row>
    <row r="10" customFormat="false" ht="15" hidden="false" customHeight="false" outlineLevel="0" collapsed="false">
      <c r="A10" s="10" t="s">
        <v>14</v>
      </c>
      <c r="B10" s="11" t="n">
        <f aca="false">SUM(B7:B9)</f>
        <v>35</v>
      </c>
      <c r="C10" s="12" t="n">
        <v>1</v>
      </c>
      <c r="F10" s="13" t="s">
        <v>15</v>
      </c>
    </row>
    <row r="13" customFormat="false" ht="15" hidden="false" customHeight="false" outlineLevel="0" collapsed="false">
      <c r="A13" s="4" t="s">
        <v>16</v>
      </c>
    </row>
    <row r="14" customFormat="false" ht="15" hidden="false" customHeight="false" outlineLevel="0" collapsed="false">
      <c r="A14" s="5" t="s">
        <v>17</v>
      </c>
      <c r="B14" s="5" t="s">
        <v>18</v>
      </c>
      <c r="C14" s="5"/>
      <c r="D14" s="5"/>
      <c r="E14" s="5"/>
      <c r="F14" s="5" t="s">
        <v>19</v>
      </c>
    </row>
    <row r="15" customFormat="false" ht="15" hidden="false" customHeight="false" outlineLevel="0" collapsed="false">
      <c r="A15" s="6" t="s">
        <v>20</v>
      </c>
      <c r="B15" s="14" t="n">
        <f aca="false">Assumptions!B14/Assumptions!B7</f>
        <v>8666666.66666667</v>
      </c>
      <c r="F15" s="9" t="s">
        <v>21</v>
      </c>
    </row>
    <row r="16" customFormat="false" ht="15" hidden="false" customHeight="false" outlineLevel="0" collapsed="false">
      <c r="A16" s="6" t="s">
        <v>22</v>
      </c>
      <c r="B16" s="14" t="n">
        <f aca="false">B15*Assumptions!B6</f>
        <v>130000</v>
      </c>
      <c r="F16" s="9" t="s">
        <v>23</v>
      </c>
    </row>
    <row r="17" customFormat="false" ht="15" hidden="false" customHeight="false" outlineLevel="0" collapsed="false">
      <c r="A17" s="6" t="s">
        <v>24</v>
      </c>
      <c r="B17" s="14" t="n">
        <f aca="false">B16*Assumptions!B5</f>
        <v>585000000</v>
      </c>
      <c r="F17" s="9" t="s">
        <v>25</v>
      </c>
    </row>
    <row r="18" customFormat="false" ht="15" hidden="false" customHeight="false" outlineLevel="0" collapsed="false">
      <c r="A18" s="6" t="s">
        <v>26</v>
      </c>
      <c r="B18" s="15" t="n">
        <f aca="false">850000000/Assumptions!B9</f>
        <v>2.42857142857143</v>
      </c>
      <c r="F18" s="9" t="s">
        <v>27</v>
      </c>
    </row>
    <row r="19" customFormat="false" ht="15" hidden="false" customHeight="false" outlineLevel="0" collapsed="false">
      <c r="A19" s="6" t="s">
        <v>28</v>
      </c>
      <c r="B19" s="15" t="n">
        <f aca="false">1000000000/Assumptions!B9</f>
        <v>2.85714285714286</v>
      </c>
      <c r="F19" s="9" t="s">
        <v>29</v>
      </c>
    </row>
    <row r="20" customFormat="false" ht="15" hidden="false" customHeight="false" outlineLevel="0" collapsed="false">
      <c r="A20" s="6" t="s">
        <v>30</v>
      </c>
      <c r="B20" s="14" t="n">
        <f aca="false">Assumptions!B9/(850000000/Assumptions!B5)</f>
        <v>1852.94117647059</v>
      </c>
      <c r="F20" s="9" t="s">
        <v>31</v>
      </c>
    </row>
    <row r="22" customFormat="false" ht="32.8" hidden="false" customHeight="true" outlineLevel="0" collapsed="false">
      <c r="A22" s="16" t="s">
        <v>32</v>
      </c>
      <c r="B22" s="16"/>
      <c r="C22" s="16"/>
      <c r="D22" s="16"/>
      <c r="E22" s="16"/>
      <c r="F22" s="16"/>
    </row>
  </sheetData>
  <mergeCells count="4">
    <mergeCell ref="A1:F1"/>
    <mergeCell ref="A2:F2"/>
    <mergeCell ref="A3:F3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56"/>
  </cols>
  <sheetData>
    <row r="1" customFormat="false" ht="17.35" hidden="false" customHeight="false" outlineLevel="0" collapsed="false">
      <c r="A1" s="17" t="s">
        <v>33</v>
      </c>
      <c r="B1" s="17"/>
      <c r="C1" s="17"/>
    </row>
    <row r="2" customFormat="false" ht="15" hidden="false" customHeight="true" outlineLevel="0" collapsed="false">
      <c r="A2" s="16" t="s">
        <v>34</v>
      </c>
      <c r="B2" s="16"/>
      <c r="C2" s="16"/>
    </row>
    <row r="4" customFormat="false" ht="15" hidden="false" customHeight="false" outlineLevel="0" collapsed="false">
      <c r="A4" s="5" t="s">
        <v>35</v>
      </c>
      <c r="B4" s="5" t="s">
        <v>18</v>
      </c>
      <c r="C4" s="5" t="s">
        <v>36</v>
      </c>
    </row>
    <row r="5" customFormat="false" ht="28.35" hidden="false" customHeight="false" outlineLevel="0" collapsed="false">
      <c r="A5" s="6" t="s">
        <v>37</v>
      </c>
      <c r="B5" s="18" t="n">
        <v>4500</v>
      </c>
      <c r="C5" s="9" t="s">
        <v>38</v>
      </c>
    </row>
    <row r="6" customFormat="false" ht="15" hidden="false" customHeight="false" outlineLevel="0" collapsed="false">
      <c r="A6" s="6" t="s">
        <v>39</v>
      </c>
      <c r="B6" s="19" t="n">
        <v>0.015</v>
      </c>
      <c r="C6" s="9" t="s">
        <v>40</v>
      </c>
    </row>
    <row r="7" customFormat="false" ht="15" hidden="false" customHeight="false" outlineLevel="0" collapsed="false">
      <c r="A7" s="6" t="s">
        <v>41</v>
      </c>
      <c r="B7" s="18" t="n">
        <v>15</v>
      </c>
      <c r="C7" s="9" t="s">
        <v>42</v>
      </c>
    </row>
    <row r="8" customFormat="false" ht="15" hidden="false" customHeight="false" outlineLevel="0" collapsed="false">
      <c r="A8" s="6" t="s">
        <v>43</v>
      </c>
      <c r="B8" s="14" t="n">
        <v>200000000</v>
      </c>
      <c r="C8" s="9" t="s">
        <v>44</v>
      </c>
    </row>
    <row r="9" customFormat="false" ht="15" hidden="false" customHeight="false" outlineLevel="0" collapsed="false">
      <c r="A9" s="6" t="s">
        <v>45</v>
      </c>
      <c r="B9" s="14" t="n">
        <v>350000000</v>
      </c>
      <c r="C9" s="9" t="s">
        <v>46</v>
      </c>
    </row>
    <row r="10" customFormat="false" ht="15" hidden="false" customHeight="false" outlineLevel="0" collapsed="false">
      <c r="A10" s="6" t="s">
        <v>47</v>
      </c>
      <c r="B10" s="14" t="n">
        <v>150000000</v>
      </c>
      <c r="C10" s="9" t="s">
        <v>48</v>
      </c>
    </row>
    <row r="11" customFormat="false" ht="15" hidden="false" customHeight="false" outlineLevel="0" collapsed="false">
      <c r="A11" s="6" t="s">
        <v>49</v>
      </c>
      <c r="B11" s="8" t="n">
        <v>0.18</v>
      </c>
      <c r="C11" s="9" t="s">
        <v>50</v>
      </c>
    </row>
    <row r="12" customFormat="false" ht="15" hidden="false" customHeight="false" outlineLevel="0" collapsed="false">
      <c r="A12" s="6" t="s">
        <v>51</v>
      </c>
      <c r="B12" s="14" t="n">
        <v>291000000</v>
      </c>
      <c r="C12" s="9" t="s">
        <v>52</v>
      </c>
    </row>
    <row r="13" customFormat="false" ht="15" hidden="false" customHeight="false" outlineLevel="0" collapsed="false">
      <c r="A13" s="6" t="s">
        <v>53</v>
      </c>
      <c r="B13" s="14" t="n">
        <v>65000</v>
      </c>
      <c r="C13" s="9" t="s">
        <v>54</v>
      </c>
    </row>
    <row r="14" customFormat="false" ht="28.35" hidden="false" customHeight="false" outlineLevel="0" collapsed="false">
      <c r="A14" s="6" t="s">
        <v>55</v>
      </c>
      <c r="B14" s="14" t="n">
        <v>130000000</v>
      </c>
      <c r="C14" s="9" t="s">
        <v>56</v>
      </c>
    </row>
    <row r="15" customFormat="false" ht="15" hidden="false" customHeight="false" outlineLevel="0" collapsed="false">
      <c r="A15" s="4" t="s">
        <v>57</v>
      </c>
    </row>
    <row r="16" customFormat="false" ht="15" hidden="false" customHeight="false" outlineLevel="0" collapsed="false">
      <c r="A16" s="6" t="s">
        <v>58</v>
      </c>
      <c r="B16" s="19" t="n">
        <v>0.008</v>
      </c>
      <c r="C16" s="9" t="s">
        <v>59</v>
      </c>
    </row>
    <row r="17" customFormat="false" ht="15" hidden="false" customHeight="false" outlineLevel="0" collapsed="false">
      <c r="A17" s="6" t="s">
        <v>60</v>
      </c>
      <c r="B17" s="19" t="n">
        <v>0.012</v>
      </c>
      <c r="C17" s="9" t="s">
        <v>61</v>
      </c>
    </row>
    <row r="18" customFormat="false" ht="15" hidden="false" customHeight="false" outlineLevel="0" collapsed="false">
      <c r="A18" s="6" t="s">
        <v>62</v>
      </c>
      <c r="B18" s="8" t="n">
        <v>0.3</v>
      </c>
      <c r="C18" s="9" t="s">
        <v>63</v>
      </c>
    </row>
    <row r="19" customFormat="false" ht="15" hidden="false" customHeight="false" outlineLevel="0" collapsed="false">
      <c r="A19" s="6" t="s">
        <v>64</v>
      </c>
      <c r="B19" s="19" t="n">
        <v>0.01</v>
      </c>
      <c r="C19" s="9" t="s">
        <v>65</v>
      </c>
    </row>
    <row r="20" customFormat="false" ht="15" hidden="false" customHeight="false" outlineLevel="0" collapsed="false">
      <c r="A20" s="6" t="s">
        <v>66</v>
      </c>
      <c r="B20" s="19" t="n">
        <v>0.04</v>
      </c>
      <c r="C20" s="9" t="s">
        <v>67</v>
      </c>
    </row>
    <row r="21" customFormat="false" ht="15" hidden="false" customHeight="false" outlineLevel="0" collapsed="false">
      <c r="A21" s="6" t="s">
        <v>68</v>
      </c>
      <c r="B21" s="14" t="n">
        <v>80000000</v>
      </c>
      <c r="C21" s="9" t="s">
        <v>69</v>
      </c>
    </row>
    <row r="23" customFormat="false" ht="15" hidden="false" customHeight="false" outlineLevel="0" collapsed="false">
      <c r="A23" s="4" t="s">
        <v>70</v>
      </c>
    </row>
    <row r="24" customFormat="false" ht="15" hidden="false" customHeight="false" outlineLevel="0" collapsed="false">
      <c r="A24" s="5" t="s">
        <v>71</v>
      </c>
      <c r="B24" s="5" t="s">
        <v>72</v>
      </c>
      <c r="C24" s="5" t="s">
        <v>73</v>
      </c>
    </row>
    <row r="25" customFormat="false" ht="15" hidden="false" customHeight="false" outlineLevel="0" collapsed="false">
      <c r="A25" s="6" t="s">
        <v>74</v>
      </c>
      <c r="B25" s="20" t="s">
        <v>75</v>
      </c>
      <c r="C25" s="9" t="s">
        <v>76</v>
      </c>
    </row>
    <row r="26" customFormat="false" ht="15" hidden="false" customHeight="false" outlineLevel="0" collapsed="false">
      <c r="A26" s="6" t="s">
        <v>77</v>
      </c>
      <c r="B26" s="20" t="s">
        <v>78</v>
      </c>
      <c r="C26" s="9" t="s">
        <v>79</v>
      </c>
    </row>
    <row r="27" customFormat="false" ht="15" hidden="false" customHeight="false" outlineLevel="0" collapsed="false">
      <c r="A27" s="6" t="s">
        <v>80</v>
      </c>
      <c r="B27" s="20" t="s">
        <v>81</v>
      </c>
      <c r="C27" s="9" t="s">
        <v>82</v>
      </c>
    </row>
    <row r="28" customFormat="false" ht="15" hidden="false" customHeight="false" outlineLevel="0" collapsed="false">
      <c r="A28" s="6" t="s">
        <v>83</v>
      </c>
      <c r="B28" s="20" t="s">
        <v>84</v>
      </c>
      <c r="C28" s="9" t="s">
        <v>85</v>
      </c>
    </row>
    <row r="29" customFormat="false" ht="15" hidden="false" customHeight="false" outlineLevel="0" collapsed="false">
      <c r="A29" s="6" t="s">
        <v>86</v>
      </c>
      <c r="B29" s="20" t="s">
        <v>87</v>
      </c>
      <c r="C29" s="9" t="s">
        <v>88</v>
      </c>
    </row>
    <row r="30" customFormat="false" ht="15" hidden="false" customHeight="false" outlineLevel="0" collapsed="false">
      <c r="A30" s="6" t="s">
        <v>89</v>
      </c>
      <c r="B30" s="20" t="s">
        <v>90</v>
      </c>
      <c r="C30" s="9" t="s">
        <v>91</v>
      </c>
    </row>
    <row r="31" customFormat="false" ht="15" hidden="false" customHeight="false" outlineLevel="0" collapsed="false">
      <c r="A31" s="6" t="s">
        <v>92</v>
      </c>
      <c r="B31" s="20" t="s">
        <v>93</v>
      </c>
      <c r="C31" s="9" t="s">
        <v>94</v>
      </c>
    </row>
    <row r="32" customFormat="false" ht="55.2" hidden="false" customHeight="false" outlineLevel="0" collapsed="false">
      <c r="A32" s="6" t="s">
        <v>95</v>
      </c>
      <c r="B32" s="20" t="s">
        <v>96</v>
      </c>
      <c r="C32" s="9" t="s">
        <v>97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"/>
    <col collapsed="false" customWidth="true" hidden="false" outlineLevel="0" max="3" min="3" style="0" width="7"/>
    <col collapsed="false" customWidth="true" hidden="false" outlineLevel="0" max="5" min="4" style="0" width="11"/>
    <col collapsed="false" customWidth="true" hidden="false" outlineLevel="0" max="6" min="6" style="0" width="17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3"/>
    <col collapsed="false" customWidth="true" hidden="false" outlineLevel="0" max="12" min="12" style="0" width="9"/>
    <col collapsed="false" customWidth="true" hidden="false" outlineLevel="0" max="13" min="13" style="0" width="12"/>
    <col collapsed="false" customWidth="true" hidden="false" outlineLevel="0" max="14" min="14" style="0" width="7"/>
    <col collapsed="false" customWidth="true" hidden="false" outlineLevel="0" max="15" min="15" style="0" width="13"/>
    <col collapsed="false" customWidth="true" hidden="false" outlineLevel="0" max="16" min="16" style="0" width="11"/>
    <col collapsed="false" customWidth="true" hidden="false" outlineLevel="0" max="17" min="17" style="0" width="9"/>
    <col collapsed="false" customWidth="true" hidden="false" outlineLevel="0" max="18" min="18" style="0" width="11"/>
    <col collapsed="false" customWidth="true" hidden="false" outlineLevel="0" max="19" min="19" style="0" width="9"/>
    <col collapsed="false" customWidth="true" hidden="false" outlineLevel="0" max="20" min="20" style="0" width="11"/>
    <col collapsed="false" customWidth="true" hidden="false" outlineLevel="0" max="21" min="21" style="0" width="26"/>
  </cols>
  <sheetData>
    <row r="1" customFormat="false" ht="16.15" hidden="false" customHeight="false" outlineLevel="0" collapsed="false">
      <c r="A1" s="21" t="s">
        <v>98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3" customFormat="false" ht="15" hidden="false" customHeight="false" outlineLevel="0" collapsed="false">
      <c r="K3" s="22" t="s">
        <v>99</v>
      </c>
      <c r="L3" s="22"/>
      <c r="M3" s="22"/>
      <c r="N3" s="22"/>
      <c r="O3" s="22"/>
      <c r="P3" s="22"/>
      <c r="Q3" s="22"/>
      <c r="R3" s="22"/>
      <c r="S3" s="22"/>
    </row>
    <row r="4" customFormat="false" ht="22.35" hidden="false" customHeight="false" outlineLevel="0" collapsed="false">
      <c r="A4" s="5" t="s">
        <v>100</v>
      </c>
      <c r="B4" s="5" t="s">
        <v>101</v>
      </c>
      <c r="C4" s="5" t="s">
        <v>102</v>
      </c>
      <c r="D4" s="5" t="s">
        <v>103</v>
      </c>
      <c r="E4" s="5" t="s">
        <v>104</v>
      </c>
      <c r="F4" s="5" t="s">
        <v>105</v>
      </c>
      <c r="G4" s="5" t="s">
        <v>106</v>
      </c>
      <c r="H4" s="5" t="s">
        <v>107</v>
      </c>
      <c r="I4" s="5" t="s">
        <v>108</v>
      </c>
      <c r="J4" s="5" t="s">
        <v>109</v>
      </c>
      <c r="K4" s="5" t="s">
        <v>110</v>
      </c>
      <c r="L4" s="5" t="s">
        <v>111</v>
      </c>
      <c r="M4" s="5" t="s">
        <v>112</v>
      </c>
      <c r="N4" s="5" t="s">
        <v>113</v>
      </c>
      <c r="O4" s="5" t="s">
        <v>114</v>
      </c>
      <c r="P4" s="5" t="s">
        <v>115</v>
      </c>
      <c r="Q4" s="5" t="s">
        <v>116</v>
      </c>
      <c r="R4" s="5" t="s">
        <v>117</v>
      </c>
      <c r="S4" s="5" t="s">
        <v>118</v>
      </c>
      <c r="T4" s="5" t="s">
        <v>119</v>
      </c>
      <c r="U4" s="5" t="s">
        <v>120</v>
      </c>
    </row>
    <row r="5" customFormat="false" ht="28.35" hidden="false" customHeight="false" outlineLevel="0" collapsed="false">
      <c r="A5" s="9" t="s">
        <v>121</v>
      </c>
      <c r="B5" s="6" t="s">
        <v>122</v>
      </c>
      <c r="C5" s="6" t="s">
        <v>123</v>
      </c>
      <c r="D5" s="6" t="s">
        <v>124</v>
      </c>
      <c r="E5" s="6" t="s">
        <v>125</v>
      </c>
      <c r="F5" s="9" t="s">
        <v>126</v>
      </c>
      <c r="G5" s="9" t="s">
        <v>127</v>
      </c>
      <c r="H5" s="9" t="s">
        <v>128</v>
      </c>
      <c r="I5" s="6" t="s">
        <v>129</v>
      </c>
      <c r="J5" s="20" t="n">
        <v>1</v>
      </c>
      <c r="K5" s="14" t="n">
        <f aca="false">Assumptions!$B$21</f>
        <v>80000000</v>
      </c>
      <c r="L5" s="19" t="n">
        <f aca="false">M5/K5</f>
        <v>0.0694444444444445</v>
      </c>
      <c r="M5" s="14" t="n">
        <f aca="false">O5/N5</f>
        <v>5555555.55555556</v>
      </c>
      <c r="N5" s="20" t="n">
        <v>3</v>
      </c>
      <c r="O5" s="14" t="n">
        <f aca="false">R5/Assumptions!$B$18</f>
        <v>16666666.6666667</v>
      </c>
      <c r="P5" s="14" t="n">
        <f aca="false">O5*Assumptions!$B$16</f>
        <v>133333.333333333</v>
      </c>
      <c r="Q5" s="23" t="n">
        <f aca="false">P5/O5</f>
        <v>0.008</v>
      </c>
      <c r="R5" s="14" t="n">
        <f aca="false">T5*10000000/J5</f>
        <v>5000000</v>
      </c>
      <c r="S5" s="8" t="n">
        <f aca="false">R5/O5</f>
        <v>0.3</v>
      </c>
      <c r="T5" s="7" t="n">
        <v>0.5</v>
      </c>
      <c r="U5" s="9" t="s">
        <v>130</v>
      </c>
    </row>
    <row r="6" customFormat="false" ht="28.35" hidden="false" customHeight="false" outlineLevel="0" collapsed="false">
      <c r="A6" s="9" t="s">
        <v>131</v>
      </c>
      <c r="B6" s="6" t="s">
        <v>122</v>
      </c>
      <c r="C6" s="6" t="s">
        <v>123</v>
      </c>
      <c r="D6" s="6" t="s">
        <v>124</v>
      </c>
      <c r="E6" s="6" t="s">
        <v>125</v>
      </c>
      <c r="F6" s="9" t="s">
        <v>126</v>
      </c>
      <c r="G6" s="9" t="s">
        <v>127</v>
      </c>
      <c r="H6" s="9" t="s">
        <v>132</v>
      </c>
      <c r="I6" s="6" t="s">
        <v>133</v>
      </c>
      <c r="J6" s="20" t="n">
        <v>80</v>
      </c>
      <c r="K6" s="14" t="n">
        <f aca="false">Assumptions!$B$21</f>
        <v>80000000</v>
      </c>
      <c r="L6" s="19" t="n">
        <f aca="false">M6/K6</f>
        <v>0.15625</v>
      </c>
      <c r="M6" s="14" t="n">
        <f aca="false">O6/N6</f>
        <v>12500000</v>
      </c>
      <c r="N6" s="20" t="n">
        <v>3</v>
      </c>
      <c r="O6" s="14" t="n">
        <f aca="false">T6*10000000/J6*1000</f>
        <v>37500000</v>
      </c>
      <c r="P6" s="14" t="n">
        <f aca="false">O6*Assumptions!$B$16</f>
        <v>300000</v>
      </c>
      <c r="Q6" s="23" t="n">
        <f aca="false">P6/O6</f>
        <v>0.008</v>
      </c>
      <c r="T6" s="7" t="n">
        <v>0.3</v>
      </c>
      <c r="U6" s="9" t="s">
        <v>134</v>
      </c>
    </row>
    <row r="7" customFormat="false" ht="28.35" hidden="false" customHeight="false" outlineLevel="0" collapsed="false">
      <c r="A7" s="9" t="s">
        <v>135</v>
      </c>
      <c r="B7" s="6" t="s">
        <v>122</v>
      </c>
      <c r="C7" s="6" t="s">
        <v>123</v>
      </c>
      <c r="D7" s="6" t="s">
        <v>124</v>
      </c>
      <c r="E7" s="6" t="s">
        <v>125</v>
      </c>
      <c r="F7" s="9" t="s">
        <v>126</v>
      </c>
      <c r="G7" s="9" t="s">
        <v>127</v>
      </c>
      <c r="H7" s="9" t="s">
        <v>136</v>
      </c>
      <c r="I7" s="6" t="s">
        <v>133</v>
      </c>
      <c r="J7" s="20" t="n">
        <v>50</v>
      </c>
      <c r="K7" s="14" t="n">
        <f aca="false">Assumptions!$B$21</f>
        <v>80000000</v>
      </c>
      <c r="L7" s="19" t="n">
        <f aca="false">M7/K7</f>
        <v>0.166666666666667</v>
      </c>
      <c r="M7" s="14" t="n">
        <f aca="false">O7/N7</f>
        <v>13333333.3333333</v>
      </c>
      <c r="N7" s="20" t="n">
        <v>3</v>
      </c>
      <c r="O7" s="14" t="n">
        <f aca="false">T7*10000000/J7*1000</f>
        <v>40000000</v>
      </c>
      <c r="P7" s="14" t="n">
        <f aca="false">O7*Assumptions!$B$16</f>
        <v>320000</v>
      </c>
      <c r="Q7" s="23" t="n">
        <f aca="false">P7/O7</f>
        <v>0.008</v>
      </c>
      <c r="T7" s="7" t="n">
        <v>0.2</v>
      </c>
      <c r="U7" s="9" t="s">
        <v>137</v>
      </c>
    </row>
    <row r="8" customFormat="false" ht="28.35" hidden="false" customHeight="false" outlineLevel="0" collapsed="false">
      <c r="A8" s="9" t="s">
        <v>138</v>
      </c>
      <c r="B8" s="6" t="s">
        <v>139</v>
      </c>
      <c r="C8" s="6" t="s">
        <v>140</v>
      </c>
      <c r="D8" s="6" t="s">
        <v>141</v>
      </c>
      <c r="E8" s="6" t="s">
        <v>125</v>
      </c>
      <c r="F8" s="9" t="s">
        <v>142</v>
      </c>
      <c r="G8" s="9" t="s">
        <v>127</v>
      </c>
      <c r="H8" s="9" t="s">
        <v>143</v>
      </c>
      <c r="I8" s="6" t="s">
        <v>144</v>
      </c>
      <c r="J8" s="20" t="n">
        <v>12</v>
      </c>
      <c r="K8" s="14" t="n">
        <f aca="false">Assumptions!$B$21</f>
        <v>80000000</v>
      </c>
      <c r="L8" s="19" t="n">
        <f aca="false">M8/K8</f>
        <v>0.144675925925926</v>
      </c>
      <c r="M8" s="14" t="n">
        <f aca="false">O8/N8</f>
        <v>11574074.0740741</v>
      </c>
      <c r="N8" s="20" t="n">
        <v>3</v>
      </c>
      <c r="O8" s="14" t="n">
        <f aca="false">P8/Assumptions!$B$17</f>
        <v>34722222.2222222</v>
      </c>
      <c r="P8" s="14" t="n">
        <f aca="false">T8*10000000/J8</f>
        <v>416666.666666667</v>
      </c>
      <c r="Q8" s="23" t="n">
        <f aca="false">P8/O8</f>
        <v>0.012</v>
      </c>
      <c r="T8" s="7" t="n">
        <v>0.5</v>
      </c>
      <c r="U8" s="9" t="s">
        <v>145</v>
      </c>
    </row>
    <row r="9" customFormat="false" ht="41.75" hidden="false" customHeight="false" outlineLevel="0" collapsed="false">
      <c r="A9" s="9" t="s">
        <v>146</v>
      </c>
      <c r="B9" s="6" t="s">
        <v>147</v>
      </c>
      <c r="C9" s="6" t="s">
        <v>148</v>
      </c>
      <c r="D9" s="6" t="s">
        <v>141</v>
      </c>
      <c r="E9" s="6" t="s">
        <v>149</v>
      </c>
      <c r="F9" s="9" t="s">
        <v>150</v>
      </c>
      <c r="G9" s="9" t="s">
        <v>127</v>
      </c>
      <c r="H9" s="9" t="s">
        <v>151</v>
      </c>
      <c r="I9" s="6" t="s">
        <v>144</v>
      </c>
      <c r="J9" s="20" t="n">
        <v>25</v>
      </c>
      <c r="K9" s="14" t="n">
        <f aca="false">Assumptions!$B$21</f>
        <v>80000000</v>
      </c>
      <c r="L9" s="19" t="n">
        <f aca="false">M9/K9</f>
        <v>0.0625</v>
      </c>
      <c r="M9" s="14" t="n">
        <f aca="false">O9/N9</f>
        <v>5000000</v>
      </c>
      <c r="N9" s="20" t="n">
        <v>2</v>
      </c>
      <c r="O9" s="14" t="n">
        <f aca="false">P9/Assumptions!$B$17</f>
        <v>10000000</v>
      </c>
      <c r="P9" s="14" t="n">
        <f aca="false">T9*10000000/J9</f>
        <v>120000</v>
      </c>
      <c r="Q9" s="23" t="n">
        <f aca="false">P9/O9</f>
        <v>0.012</v>
      </c>
      <c r="T9" s="7" t="n">
        <v>0.3</v>
      </c>
      <c r="U9" s="9" t="s">
        <v>152</v>
      </c>
    </row>
    <row r="10" customFormat="false" ht="15" hidden="false" customHeight="false" outlineLevel="0" collapsed="false">
      <c r="A10" s="10" t="s">
        <v>153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1" t="n">
        <f aca="false">SUM(T5:T9)</f>
        <v>1.8</v>
      </c>
      <c r="U10" s="13"/>
    </row>
    <row r="12" customFormat="false" ht="15" hidden="false" customHeight="false" outlineLevel="0" collapsed="false">
      <c r="A12" s="24" t="s">
        <v>154</v>
      </c>
      <c r="B12" s="25" t="n">
        <v>1.8</v>
      </c>
      <c r="C12" s="3" t="s">
        <v>155</v>
      </c>
    </row>
  </sheetData>
  <mergeCells count="2">
    <mergeCell ref="A1:U1"/>
    <mergeCell ref="K3:S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"/>
    <col collapsed="false" customWidth="true" hidden="false" outlineLevel="0" max="3" min="3" style="0" width="7"/>
    <col collapsed="false" customWidth="true" hidden="false" outlineLevel="0" max="5" min="4" style="0" width="11"/>
    <col collapsed="false" customWidth="true" hidden="false" outlineLevel="0" max="6" min="6" style="0" width="17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3"/>
    <col collapsed="false" customWidth="true" hidden="false" outlineLevel="0" max="12" min="12" style="0" width="9"/>
    <col collapsed="false" customWidth="true" hidden="false" outlineLevel="0" max="13" min="13" style="0" width="12"/>
    <col collapsed="false" customWidth="true" hidden="false" outlineLevel="0" max="14" min="14" style="0" width="7"/>
    <col collapsed="false" customWidth="true" hidden="false" outlineLevel="0" max="15" min="15" style="0" width="13"/>
    <col collapsed="false" customWidth="true" hidden="false" outlineLevel="0" max="16" min="16" style="0" width="11"/>
    <col collapsed="false" customWidth="true" hidden="false" outlineLevel="0" max="17" min="17" style="0" width="9"/>
    <col collapsed="false" customWidth="true" hidden="false" outlineLevel="0" max="18" min="18" style="0" width="11"/>
    <col collapsed="false" customWidth="true" hidden="false" outlineLevel="0" max="19" min="19" style="0" width="9"/>
    <col collapsed="false" customWidth="true" hidden="false" outlineLevel="0" max="20" min="20" style="0" width="11"/>
    <col collapsed="false" customWidth="true" hidden="false" outlineLevel="0" max="21" min="21" style="0" width="26"/>
  </cols>
  <sheetData>
    <row r="1" customFormat="false" ht="16.15" hidden="false" customHeight="false" outlineLevel="0" collapsed="false">
      <c r="A1" s="21" t="s">
        <v>156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3" customFormat="false" ht="15" hidden="false" customHeight="false" outlineLevel="0" collapsed="false">
      <c r="K3" s="22" t="s">
        <v>99</v>
      </c>
      <c r="L3" s="22"/>
      <c r="M3" s="22"/>
      <c r="N3" s="22"/>
      <c r="O3" s="22"/>
      <c r="P3" s="22"/>
      <c r="Q3" s="22"/>
      <c r="R3" s="22"/>
      <c r="S3" s="22"/>
    </row>
    <row r="4" customFormat="false" ht="22.35" hidden="false" customHeight="false" outlineLevel="0" collapsed="false">
      <c r="A4" s="5" t="s">
        <v>100</v>
      </c>
      <c r="B4" s="5" t="s">
        <v>101</v>
      </c>
      <c r="C4" s="5" t="s">
        <v>102</v>
      </c>
      <c r="D4" s="5" t="s">
        <v>103</v>
      </c>
      <c r="E4" s="5" t="s">
        <v>104</v>
      </c>
      <c r="F4" s="5" t="s">
        <v>105</v>
      </c>
      <c r="G4" s="5" t="s">
        <v>106</v>
      </c>
      <c r="H4" s="5" t="s">
        <v>107</v>
      </c>
      <c r="I4" s="5" t="s">
        <v>108</v>
      </c>
      <c r="J4" s="5" t="s">
        <v>109</v>
      </c>
      <c r="K4" s="5" t="s">
        <v>110</v>
      </c>
      <c r="L4" s="5" t="s">
        <v>111</v>
      </c>
      <c r="M4" s="5" t="s">
        <v>112</v>
      </c>
      <c r="N4" s="5" t="s">
        <v>113</v>
      </c>
      <c r="O4" s="5" t="s">
        <v>114</v>
      </c>
      <c r="P4" s="5" t="s">
        <v>115</v>
      </c>
      <c r="Q4" s="5" t="s">
        <v>116</v>
      </c>
      <c r="R4" s="5" t="s">
        <v>117</v>
      </c>
      <c r="S4" s="5" t="s">
        <v>118</v>
      </c>
      <c r="T4" s="5" t="s">
        <v>119</v>
      </c>
      <c r="U4" s="5" t="s">
        <v>120</v>
      </c>
    </row>
    <row r="5" customFormat="false" ht="28.35" hidden="false" customHeight="false" outlineLevel="0" collapsed="false">
      <c r="A5" s="9" t="s">
        <v>157</v>
      </c>
      <c r="B5" s="6" t="s">
        <v>122</v>
      </c>
      <c r="C5" s="6" t="s">
        <v>123</v>
      </c>
      <c r="D5" s="6" t="s">
        <v>124</v>
      </c>
      <c r="E5" s="6" t="s">
        <v>149</v>
      </c>
      <c r="F5" s="9" t="s">
        <v>126</v>
      </c>
      <c r="G5" s="9" t="s">
        <v>158</v>
      </c>
      <c r="H5" s="9" t="s">
        <v>159</v>
      </c>
      <c r="I5" s="6" t="s">
        <v>160</v>
      </c>
      <c r="J5" s="20" t="s">
        <v>161</v>
      </c>
      <c r="N5" s="20"/>
      <c r="T5" s="7" t="n">
        <v>0.5</v>
      </c>
      <c r="U5" s="9" t="s">
        <v>162</v>
      </c>
    </row>
    <row r="6" customFormat="false" ht="28.35" hidden="false" customHeight="false" outlineLevel="0" collapsed="false">
      <c r="A6" s="9" t="s">
        <v>163</v>
      </c>
      <c r="B6" s="6" t="s">
        <v>122</v>
      </c>
      <c r="C6" s="6" t="s">
        <v>123</v>
      </c>
      <c r="D6" s="6" t="s">
        <v>124</v>
      </c>
      <c r="E6" s="6" t="s">
        <v>149</v>
      </c>
      <c r="F6" s="9" t="s">
        <v>126</v>
      </c>
      <c r="G6" s="9" t="s">
        <v>158</v>
      </c>
      <c r="H6" s="9" t="s">
        <v>164</v>
      </c>
      <c r="I6" s="6" t="s">
        <v>160</v>
      </c>
      <c r="J6" s="20" t="s">
        <v>161</v>
      </c>
      <c r="N6" s="20"/>
      <c r="T6" s="7" t="n">
        <v>1</v>
      </c>
      <c r="U6" s="9" t="s">
        <v>165</v>
      </c>
    </row>
    <row r="7" customFormat="false" ht="28.35" hidden="false" customHeight="false" outlineLevel="0" collapsed="false">
      <c r="A7" s="9" t="s">
        <v>121</v>
      </c>
      <c r="B7" s="6" t="s">
        <v>122</v>
      </c>
      <c r="C7" s="6" t="s">
        <v>123</v>
      </c>
      <c r="D7" s="6" t="s">
        <v>124</v>
      </c>
      <c r="E7" s="6" t="s">
        <v>125</v>
      </c>
      <c r="F7" s="9" t="s">
        <v>126</v>
      </c>
      <c r="G7" s="9" t="s">
        <v>127</v>
      </c>
      <c r="H7" s="9" t="s">
        <v>166</v>
      </c>
      <c r="I7" s="6" t="s">
        <v>129</v>
      </c>
      <c r="J7" s="20" t="n">
        <v>1</v>
      </c>
      <c r="K7" s="14" t="n">
        <f aca="false">Assumptions!$B$21</f>
        <v>80000000</v>
      </c>
      <c r="L7" s="19" t="n">
        <f aca="false">M7/K7</f>
        <v>0.138888888888889</v>
      </c>
      <c r="M7" s="14" t="n">
        <f aca="false">O7/N7</f>
        <v>11111111.1111111</v>
      </c>
      <c r="N7" s="20" t="n">
        <v>3</v>
      </c>
      <c r="O7" s="14" t="n">
        <f aca="false">R7/Assumptions!$B$18</f>
        <v>33333333.3333333</v>
      </c>
      <c r="P7" s="14" t="n">
        <f aca="false">O7*Assumptions!$B$16</f>
        <v>266666.666666667</v>
      </c>
      <c r="Q7" s="23" t="n">
        <f aca="false">P7/O7</f>
        <v>0.008</v>
      </c>
      <c r="R7" s="14" t="n">
        <f aca="false">T7*10000000/J7</f>
        <v>10000000</v>
      </c>
      <c r="S7" s="8" t="n">
        <f aca="false">R7/O7</f>
        <v>0.3</v>
      </c>
      <c r="T7" s="7" t="n">
        <v>1</v>
      </c>
      <c r="U7" s="9" t="s">
        <v>167</v>
      </c>
    </row>
    <row r="8" customFormat="false" ht="28.35" hidden="false" customHeight="false" outlineLevel="0" collapsed="false">
      <c r="A8" s="9" t="s">
        <v>131</v>
      </c>
      <c r="B8" s="6" t="s">
        <v>122</v>
      </c>
      <c r="C8" s="6" t="s">
        <v>123</v>
      </c>
      <c r="D8" s="6" t="s">
        <v>124</v>
      </c>
      <c r="E8" s="6" t="s">
        <v>125</v>
      </c>
      <c r="F8" s="9" t="s">
        <v>126</v>
      </c>
      <c r="G8" s="9" t="s">
        <v>127</v>
      </c>
      <c r="H8" s="9" t="s">
        <v>168</v>
      </c>
      <c r="I8" s="6" t="s">
        <v>133</v>
      </c>
      <c r="J8" s="20" t="n">
        <v>80</v>
      </c>
      <c r="K8" s="14" t="n">
        <f aca="false">Assumptions!$B$21</f>
        <v>80000000</v>
      </c>
      <c r="L8" s="19" t="n">
        <f aca="false">M8/K8</f>
        <v>0.3125</v>
      </c>
      <c r="M8" s="14" t="n">
        <f aca="false">O8/N8</f>
        <v>25000000</v>
      </c>
      <c r="N8" s="20" t="n">
        <v>3</v>
      </c>
      <c r="O8" s="14" t="n">
        <f aca="false">T8*10000000/J8*1000</f>
        <v>75000000</v>
      </c>
      <c r="P8" s="14" t="n">
        <f aca="false">O8*Assumptions!$B$16</f>
        <v>600000</v>
      </c>
      <c r="Q8" s="23" t="n">
        <f aca="false">P8/O8</f>
        <v>0.008</v>
      </c>
      <c r="T8" s="7" t="n">
        <v>0.6</v>
      </c>
      <c r="U8" s="9" t="s">
        <v>169</v>
      </c>
    </row>
    <row r="9" customFormat="false" ht="28.35" hidden="false" customHeight="false" outlineLevel="0" collapsed="false">
      <c r="A9" s="9" t="s">
        <v>135</v>
      </c>
      <c r="B9" s="6" t="s">
        <v>122</v>
      </c>
      <c r="C9" s="6" t="s">
        <v>123</v>
      </c>
      <c r="D9" s="6" t="s">
        <v>124</v>
      </c>
      <c r="E9" s="6" t="s">
        <v>125</v>
      </c>
      <c r="F9" s="9" t="s">
        <v>126</v>
      </c>
      <c r="G9" s="9" t="s">
        <v>127</v>
      </c>
      <c r="H9" s="9" t="s">
        <v>136</v>
      </c>
      <c r="I9" s="6" t="s">
        <v>133</v>
      </c>
      <c r="J9" s="20" t="n">
        <v>50</v>
      </c>
      <c r="K9" s="14" t="n">
        <f aca="false">Assumptions!$B$21</f>
        <v>80000000</v>
      </c>
      <c r="L9" s="19" t="n">
        <f aca="false">M9/K9</f>
        <v>0.333333333333333</v>
      </c>
      <c r="M9" s="14" t="n">
        <f aca="false">O9/N9</f>
        <v>26666666.6666667</v>
      </c>
      <c r="N9" s="20" t="n">
        <v>3</v>
      </c>
      <c r="O9" s="14" t="n">
        <f aca="false">T9*10000000/J9*1000</f>
        <v>80000000</v>
      </c>
      <c r="P9" s="14" t="n">
        <f aca="false">O9*Assumptions!$B$16</f>
        <v>640000</v>
      </c>
      <c r="Q9" s="23" t="n">
        <f aca="false">P9/O9</f>
        <v>0.008</v>
      </c>
      <c r="T9" s="7" t="n">
        <v>0.4</v>
      </c>
      <c r="U9" s="9" t="s">
        <v>170</v>
      </c>
    </row>
    <row r="10" customFormat="false" ht="28.35" hidden="false" customHeight="false" outlineLevel="0" collapsed="false">
      <c r="A10" s="9" t="s">
        <v>171</v>
      </c>
      <c r="B10" s="6" t="s">
        <v>139</v>
      </c>
      <c r="C10" s="6" t="s">
        <v>140</v>
      </c>
      <c r="D10" s="6" t="s">
        <v>141</v>
      </c>
      <c r="E10" s="6" t="s">
        <v>125</v>
      </c>
      <c r="F10" s="9" t="s">
        <v>126</v>
      </c>
      <c r="G10" s="9" t="s">
        <v>127</v>
      </c>
      <c r="H10" s="9" t="s">
        <v>172</v>
      </c>
      <c r="I10" s="6" t="s">
        <v>160</v>
      </c>
      <c r="J10" s="20" t="s">
        <v>161</v>
      </c>
      <c r="N10" s="20"/>
      <c r="T10" s="7" t="n">
        <v>0.5</v>
      </c>
      <c r="U10" s="9" t="s">
        <v>173</v>
      </c>
    </row>
    <row r="11" customFormat="false" ht="28.35" hidden="false" customHeight="false" outlineLevel="0" collapsed="false">
      <c r="A11" s="9" t="s">
        <v>138</v>
      </c>
      <c r="B11" s="6" t="s">
        <v>139</v>
      </c>
      <c r="C11" s="6" t="s">
        <v>140</v>
      </c>
      <c r="D11" s="6" t="s">
        <v>141</v>
      </c>
      <c r="E11" s="6" t="s">
        <v>125</v>
      </c>
      <c r="F11" s="9" t="s">
        <v>142</v>
      </c>
      <c r="G11" s="9" t="s">
        <v>127</v>
      </c>
      <c r="H11" s="9" t="s">
        <v>143</v>
      </c>
      <c r="I11" s="6" t="s">
        <v>144</v>
      </c>
      <c r="J11" s="20" t="n">
        <v>12</v>
      </c>
      <c r="K11" s="14" t="n">
        <f aca="false">Assumptions!$B$21</f>
        <v>80000000</v>
      </c>
      <c r="L11" s="19" t="n">
        <f aca="false">M11/K11</f>
        <v>0.202546296296296</v>
      </c>
      <c r="M11" s="14" t="n">
        <f aca="false">O11/N11</f>
        <v>16203703.7037037</v>
      </c>
      <c r="N11" s="20" t="n">
        <v>3</v>
      </c>
      <c r="O11" s="14" t="n">
        <f aca="false">P11/Assumptions!$B$17</f>
        <v>48611111.1111111</v>
      </c>
      <c r="P11" s="14" t="n">
        <f aca="false">T11*10000000/J11</f>
        <v>583333.333333333</v>
      </c>
      <c r="Q11" s="23" t="n">
        <f aca="false">P11/O11</f>
        <v>0.012</v>
      </c>
      <c r="T11" s="7" t="n">
        <v>0.7</v>
      </c>
      <c r="U11" s="9" t="s">
        <v>174</v>
      </c>
    </row>
    <row r="12" customFormat="false" ht="28.35" hidden="false" customHeight="false" outlineLevel="0" collapsed="false">
      <c r="A12" s="9" t="s">
        <v>175</v>
      </c>
      <c r="B12" s="6" t="s">
        <v>139</v>
      </c>
      <c r="C12" s="6" t="s">
        <v>140</v>
      </c>
      <c r="D12" s="6" t="s">
        <v>141</v>
      </c>
      <c r="E12" s="6" t="s">
        <v>125</v>
      </c>
      <c r="F12" s="9" t="s">
        <v>142</v>
      </c>
      <c r="G12" s="9" t="s">
        <v>127</v>
      </c>
      <c r="H12" s="9" t="s">
        <v>176</v>
      </c>
      <c r="I12" s="6" t="s">
        <v>144</v>
      </c>
      <c r="J12" s="20" t="n">
        <v>12</v>
      </c>
      <c r="K12" s="14" t="n">
        <f aca="false">Assumptions!$B$21</f>
        <v>80000000</v>
      </c>
      <c r="L12" s="19" t="n">
        <f aca="false">M12/K12</f>
        <v>0.108506944444444</v>
      </c>
      <c r="M12" s="14" t="n">
        <f aca="false">O12/N12</f>
        <v>8680555.55555556</v>
      </c>
      <c r="N12" s="20" t="n">
        <v>4</v>
      </c>
      <c r="O12" s="14" t="n">
        <f aca="false">P12/Assumptions!$B$17</f>
        <v>34722222.2222222</v>
      </c>
      <c r="P12" s="14" t="n">
        <f aca="false">T12*10000000/J12</f>
        <v>416666.666666667</v>
      </c>
      <c r="Q12" s="23" t="n">
        <f aca="false">P12/O12</f>
        <v>0.012</v>
      </c>
      <c r="T12" s="7" t="n">
        <v>0.5</v>
      </c>
      <c r="U12" s="9" t="s">
        <v>177</v>
      </c>
    </row>
    <row r="13" customFormat="false" ht="41.75" hidden="false" customHeight="false" outlineLevel="0" collapsed="false">
      <c r="A13" s="9" t="s">
        <v>178</v>
      </c>
      <c r="B13" s="6" t="s">
        <v>147</v>
      </c>
      <c r="C13" s="6" t="s">
        <v>148</v>
      </c>
      <c r="D13" s="6" t="s">
        <v>141</v>
      </c>
      <c r="E13" s="6" t="s">
        <v>149</v>
      </c>
      <c r="F13" s="9" t="s">
        <v>150</v>
      </c>
      <c r="G13" s="9" t="s">
        <v>127</v>
      </c>
      <c r="H13" s="9" t="s">
        <v>179</v>
      </c>
      <c r="I13" s="6" t="s">
        <v>144</v>
      </c>
      <c r="J13" s="20" t="n">
        <v>25</v>
      </c>
      <c r="K13" s="14" t="n">
        <f aca="false">Assumptions!$B$21</f>
        <v>80000000</v>
      </c>
      <c r="L13" s="19" t="n">
        <f aca="false">M13/K13</f>
        <v>0.208333333333333</v>
      </c>
      <c r="M13" s="14" t="n">
        <f aca="false">O13/N13</f>
        <v>16666666.6666667</v>
      </c>
      <c r="N13" s="20" t="n">
        <v>2</v>
      </c>
      <c r="O13" s="14" t="n">
        <f aca="false">P13/Assumptions!$B$17</f>
        <v>33333333.3333333</v>
      </c>
      <c r="P13" s="14" t="n">
        <f aca="false">T13*10000000/J13</f>
        <v>400000</v>
      </c>
      <c r="Q13" s="23" t="n">
        <f aca="false">P13/O13</f>
        <v>0.012</v>
      </c>
      <c r="T13" s="7" t="n">
        <v>1</v>
      </c>
      <c r="U13" s="9" t="s">
        <v>180</v>
      </c>
    </row>
    <row r="14" customFormat="false" ht="41.75" hidden="false" customHeight="false" outlineLevel="0" collapsed="false">
      <c r="A14" s="9" t="s">
        <v>181</v>
      </c>
      <c r="B14" s="6" t="s">
        <v>147</v>
      </c>
      <c r="C14" s="6" t="s">
        <v>148</v>
      </c>
      <c r="D14" s="6" t="s">
        <v>141</v>
      </c>
      <c r="E14" s="6" t="s">
        <v>125</v>
      </c>
      <c r="F14" s="9" t="s">
        <v>142</v>
      </c>
      <c r="G14" s="9" t="s">
        <v>127</v>
      </c>
      <c r="H14" s="9" t="s">
        <v>182</v>
      </c>
      <c r="I14" s="6" t="s">
        <v>144</v>
      </c>
      <c r="J14" s="20" t="n">
        <v>12</v>
      </c>
      <c r="K14" s="14" t="n">
        <f aca="false">Assumptions!$B$21</f>
        <v>80000000</v>
      </c>
      <c r="L14" s="19" t="n">
        <f aca="false">M14/K14</f>
        <v>0.217013888888889</v>
      </c>
      <c r="M14" s="14" t="n">
        <f aca="false">O14/N14</f>
        <v>17361111.1111111</v>
      </c>
      <c r="N14" s="20" t="n">
        <v>4</v>
      </c>
      <c r="O14" s="14" t="n">
        <f aca="false">P14/Assumptions!$B$17</f>
        <v>69444444.4444445</v>
      </c>
      <c r="P14" s="14" t="n">
        <f aca="false">T14*10000000/J14</f>
        <v>833333.333333333</v>
      </c>
      <c r="Q14" s="23" t="n">
        <f aca="false">P14/O14</f>
        <v>0.012</v>
      </c>
      <c r="T14" s="7" t="n">
        <v>1</v>
      </c>
      <c r="U14" s="9" t="s">
        <v>183</v>
      </c>
    </row>
    <row r="15" customFormat="false" ht="28.35" hidden="false" customHeight="false" outlineLevel="0" collapsed="false">
      <c r="A15" s="9" t="s">
        <v>184</v>
      </c>
      <c r="B15" s="6" t="s">
        <v>147</v>
      </c>
      <c r="C15" s="6" t="s">
        <v>148</v>
      </c>
      <c r="D15" s="6" t="s">
        <v>141</v>
      </c>
      <c r="E15" s="6" t="s">
        <v>125</v>
      </c>
      <c r="F15" s="9" t="s">
        <v>126</v>
      </c>
      <c r="G15" s="9" t="s">
        <v>127</v>
      </c>
      <c r="H15" s="9" t="s">
        <v>185</v>
      </c>
      <c r="I15" s="6" t="s">
        <v>133</v>
      </c>
      <c r="J15" s="20" t="n">
        <v>150</v>
      </c>
      <c r="K15" s="14" t="n">
        <f aca="false">Assumptions!$B$21</f>
        <v>80000000</v>
      </c>
      <c r="L15" s="19" t="n">
        <f aca="false">M15/K15</f>
        <v>0.138888888888889</v>
      </c>
      <c r="M15" s="14" t="n">
        <f aca="false">O15/N15</f>
        <v>11111111.1111111</v>
      </c>
      <c r="N15" s="20" t="n">
        <v>3</v>
      </c>
      <c r="O15" s="14" t="n">
        <f aca="false">T15*10000000/J15*1000</f>
        <v>33333333.3333333</v>
      </c>
      <c r="P15" s="14" t="n">
        <f aca="false">O15*Assumptions!$B$19</f>
        <v>333333.333333333</v>
      </c>
      <c r="Q15" s="23" t="n">
        <f aca="false">P15/O15</f>
        <v>0.01</v>
      </c>
      <c r="T15" s="7" t="n">
        <v>0.5</v>
      </c>
      <c r="U15" s="9" t="s">
        <v>186</v>
      </c>
    </row>
    <row r="16" customFormat="false" ht="15" hidden="false" customHeight="false" outlineLevel="0" collapsed="false">
      <c r="A16" s="9" t="s">
        <v>187</v>
      </c>
      <c r="B16" s="6" t="s">
        <v>188</v>
      </c>
      <c r="C16" s="6" t="s">
        <v>189</v>
      </c>
      <c r="D16" s="6" t="s">
        <v>190</v>
      </c>
      <c r="E16" s="6" t="s">
        <v>149</v>
      </c>
      <c r="F16" s="9" t="s">
        <v>191</v>
      </c>
      <c r="G16" s="9" t="s">
        <v>161</v>
      </c>
      <c r="H16" s="9" t="s">
        <v>192</v>
      </c>
      <c r="I16" s="6" t="s">
        <v>160</v>
      </c>
      <c r="J16" s="20" t="s">
        <v>161</v>
      </c>
      <c r="N16" s="20"/>
      <c r="T16" s="7" t="n">
        <v>0.3</v>
      </c>
      <c r="U16" s="9" t="s">
        <v>193</v>
      </c>
    </row>
    <row r="17" customFormat="false" ht="15" hidden="false" customHeight="false" outlineLevel="0" collapsed="false">
      <c r="A17" s="10" t="s">
        <v>153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1" t="n">
        <f aca="false">SUM(T5:T16)</f>
        <v>8</v>
      </c>
      <c r="U17" s="13"/>
    </row>
    <row r="20" customFormat="false" ht="15" hidden="false" customHeight="false" outlineLevel="0" collapsed="false">
      <c r="A20" s="26" t="s">
        <v>194</v>
      </c>
      <c r="B20" s="26"/>
      <c r="C20" s="26"/>
      <c r="D20" s="26"/>
      <c r="E20" s="26"/>
      <c r="F20" s="26"/>
      <c r="G20" s="26"/>
      <c r="H20" s="26"/>
    </row>
    <row r="21" customFormat="false" ht="32.8" hidden="false" customHeight="false" outlineLevel="0" collapsed="false">
      <c r="A21" s="5" t="s">
        <v>195</v>
      </c>
      <c r="B21" s="5" t="s">
        <v>196</v>
      </c>
      <c r="C21" s="5" t="s">
        <v>100</v>
      </c>
      <c r="D21" s="5" t="s">
        <v>197</v>
      </c>
      <c r="E21" s="5" t="s">
        <v>198</v>
      </c>
      <c r="F21" s="5" t="s">
        <v>112</v>
      </c>
      <c r="G21" s="5" t="s">
        <v>199</v>
      </c>
      <c r="H21" s="5" t="s">
        <v>200</v>
      </c>
    </row>
    <row r="22" customFormat="false" ht="55.2" hidden="false" customHeight="false" outlineLevel="0" collapsed="false">
      <c r="A22" s="6" t="s">
        <v>201</v>
      </c>
      <c r="B22" s="9" t="s">
        <v>202</v>
      </c>
      <c r="C22" s="6" t="s">
        <v>203</v>
      </c>
      <c r="D22" s="9" t="s">
        <v>204</v>
      </c>
      <c r="E22" s="20" t="n">
        <v>12</v>
      </c>
      <c r="F22" s="14" t="n">
        <v>1800000</v>
      </c>
      <c r="G22" s="14" t="n">
        <v>250000</v>
      </c>
      <c r="H22" s="14" t="n">
        <f aca="false">E22*G22</f>
        <v>3000000</v>
      </c>
    </row>
    <row r="23" customFormat="false" ht="41.75" hidden="false" customHeight="false" outlineLevel="0" collapsed="false">
      <c r="A23" s="6" t="s">
        <v>205</v>
      </c>
      <c r="B23" s="9" t="s">
        <v>206</v>
      </c>
      <c r="C23" s="6" t="s">
        <v>138</v>
      </c>
      <c r="D23" s="9" t="s">
        <v>207</v>
      </c>
      <c r="E23" s="20" t="n">
        <v>60</v>
      </c>
      <c r="F23" s="14" t="n">
        <v>1200000</v>
      </c>
      <c r="G23" s="14" t="n">
        <v>40000</v>
      </c>
      <c r="H23" s="14" t="n">
        <f aca="false">E23*G23</f>
        <v>2400000</v>
      </c>
    </row>
    <row r="24" customFormat="false" ht="41.75" hidden="false" customHeight="false" outlineLevel="0" collapsed="false">
      <c r="A24" s="6" t="s">
        <v>208</v>
      </c>
      <c r="B24" s="9" t="s">
        <v>209</v>
      </c>
      <c r="C24" s="6" t="s">
        <v>138</v>
      </c>
      <c r="D24" s="9" t="s">
        <v>210</v>
      </c>
      <c r="E24" s="20" t="n">
        <v>260</v>
      </c>
      <c r="F24" s="14" t="n">
        <v>1040000</v>
      </c>
      <c r="G24" s="14" t="n">
        <v>10000</v>
      </c>
      <c r="H24" s="14" t="n">
        <f aca="false">E24*G24</f>
        <v>2600000</v>
      </c>
    </row>
    <row r="25" customFormat="false" ht="15" hidden="false" customHeight="false" outlineLevel="0" collapsed="false">
      <c r="A25" s="10" t="s">
        <v>211</v>
      </c>
      <c r="B25" s="13"/>
      <c r="C25" s="13"/>
      <c r="D25" s="13"/>
      <c r="E25" s="13"/>
      <c r="F25" s="13"/>
      <c r="G25" s="13"/>
      <c r="H25" s="27" t="n">
        <f aca="false">SUM(H22:H24)</f>
        <v>8000000</v>
      </c>
    </row>
    <row r="28" customFormat="false" ht="15" hidden="false" customHeight="false" outlineLevel="0" collapsed="false">
      <c r="A28" s="26" t="s">
        <v>212</v>
      </c>
      <c r="B28" s="26"/>
      <c r="C28" s="26"/>
      <c r="D28" s="26"/>
      <c r="E28" s="26"/>
      <c r="F28" s="26"/>
      <c r="G28" s="26"/>
      <c r="H28" s="26"/>
    </row>
    <row r="29" customFormat="false" ht="22.35" hidden="false" customHeight="false" outlineLevel="0" collapsed="false">
      <c r="A29" s="5" t="s">
        <v>213</v>
      </c>
      <c r="B29" s="5" t="s">
        <v>214</v>
      </c>
      <c r="C29" s="5" t="s">
        <v>215</v>
      </c>
      <c r="D29" s="5" t="s">
        <v>216</v>
      </c>
      <c r="E29" s="5" t="s">
        <v>217</v>
      </c>
      <c r="F29" s="5" t="s">
        <v>218</v>
      </c>
      <c r="G29" s="5" t="s">
        <v>219</v>
      </c>
      <c r="H29" s="5" t="s">
        <v>220</v>
      </c>
    </row>
    <row r="30" customFormat="false" ht="68.65" hidden="false" customHeight="false" outlineLevel="0" collapsed="false">
      <c r="A30" s="6" t="s">
        <v>221</v>
      </c>
      <c r="B30" s="9" t="s">
        <v>222</v>
      </c>
      <c r="C30" s="9" t="s">
        <v>223</v>
      </c>
      <c r="D30" s="6" t="s">
        <v>224</v>
      </c>
      <c r="E30" s="20" t="n">
        <v>60</v>
      </c>
      <c r="F30" s="20" t="n">
        <v>21</v>
      </c>
      <c r="G30" s="14" t="n">
        <v>6000</v>
      </c>
      <c r="H30" s="14" t="n">
        <f aca="false">E30*F30*G30</f>
        <v>7560000</v>
      </c>
    </row>
    <row r="31" customFormat="false" ht="95.5" hidden="false" customHeight="false" outlineLevel="0" collapsed="false">
      <c r="A31" s="6" t="s">
        <v>221</v>
      </c>
      <c r="B31" s="9" t="s">
        <v>225</v>
      </c>
      <c r="C31" s="9" t="s">
        <v>226</v>
      </c>
      <c r="D31" s="6" t="s">
        <v>161</v>
      </c>
      <c r="E31" s="20"/>
      <c r="F31" s="20"/>
      <c r="G31" s="14"/>
      <c r="H31" s="14" t="n">
        <v>2440000</v>
      </c>
    </row>
    <row r="32" customFormat="false" ht="15" hidden="false" customHeight="false" outlineLevel="0" collapsed="false">
      <c r="A32" s="10" t="s">
        <v>227</v>
      </c>
      <c r="B32" s="13"/>
      <c r="C32" s="13"/>
      <c r="D32" s="13"/>
      <c r="E32" s="13"/>
      <c r="F32" s="13"/>
      <c r="G32" s="13"/>
      <c r="H32" s="27" t="n">
        <f aca="false">SUM(H30:H31)</f>
        <v>10000000</v>
      </c>
    </row>
    <row r="34" customFormat="false" ht="15" hidden="false" customHeight="false" outlineLevel="0" collapsed="false">
      <c r="A34" s="24" t="s">
        <v>154</v>
      </c>
      <c r="B34" s="25" t="n">
        <v>9.8</v>
      </c>
      <c r="C34" s="3" t="s">
        <v>155</v>
      </c>
    </row>
  </sheetData>
  <mergeCells count="4">
    <mergeCell ref="A1:U1"/>
    <mergeCell ref="K3:S3"/>
    <mergeCell ref="A20:H20"/>
    <mergeCell ref="A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"/>
    <col collapsed="false" customWidth="true" hidden="false" outlineLevel="0" max="3" min="3" style="0" width="7"/>
    <col collapsed="false" customWidth="true" hidden="false" outlineLevel="0" max="5" min="4" style="0" width="11"/>
    <col collapsed="false" customWidth="true" hidden="false" outlineLevel="0" max="6" min="6" style="0" width="17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3"/>
    <col collapsed="false" customWidth="true" hidden="false" outlineLevel="0" max="12" min="12" style="0" width="9"/>
    <col collapsed="false" customWidth="true" hidden="false" outlineLevel="0" max="13" min="13" style="0" width="12"/>
    <col collapsed="false" customWidth="true" hidden="false" outlineLevel="0" max="14" min="14" style="0" width="7"/>
    <col collapsed="false" customWidth="true" hidden="false" outlineLevel="0" max="15" min="15" style="0" width="13"/>
    <col collapsed="false" customWidth="true" hidden="false" outlineLevel="0" max="16" min="16" style="0" width="11"/>
    <col collapsed="false" customWidth="true" hidden="false" outlineLevel="0" max="17" min="17" style="0" width="9"/>
    <col collapsed="false" customWidth="true" hidden="false" outlineLevel="0" max="18" min="18" style="0" width="11"/>
    <col collapsed="false" customWidth="true" hidden="false" outlineLevel="0" max="19" min="19" style="0" width="9"/>
    <col collapsed="false" customWidth="true" hidden="false" outlineLevel="0" max="20" min="20" style="0" width="11"/>
    <col collapsed="false" customWidth="true" hidden="false" outlineLevel="0" max="21" min="21" style="0" width="26"/>
  </cols>
  <sheetData>
    <row r="1" customFormat="false" ht="16.15" hidden="false" customHeight="false" outlineLevel="0" collapsed="false">
      <c r="A1" s="21" t="s">
        <v>228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3" customFormat="false" ht="15" hidden="false" customHeight="false" outlineLevel="0" collapsed="false">
      <c r="K3" s="22" t="s">
        <v>99</v>
      </c>
      <c r="L3" s="22"/>
      <c r="M3" s="22"/>
      <c r="N3" s="22"/>
      <c r="O3" s="22"/>
      <c r="P3" s="22"/>
      <c r="Q3" s="22"/>
      <c r="R3" s="22"/>
      <c r="S3" s="22"/>
    </row>
    <row r="4" customFormat="false" ht="22.35" hidden="false" customHeight="false" outlineLevel="0" collapsed="false">
      <c r="A4" s="5" t="s">
        <v>100</v>
      </c>
      <c r="B4" s="5" t="s">
        <v>101</v>
      </c>
      <c r="C4" s="5" t="s">
        <v>102</v>
      </c>
      <c r="D4" s="5" t="s">
        <v>103</v>
      </c>
      <c r="E4" s="5" t="s">
        <v>104</v>
      </c>
      <c r="F4" s="5" t="s">
        <v>105</v>
      </c>
      <c r="G4" s="5" t="s">
        <v>106</v>
      </c>
      <c r="H4" s="5" t="s">
        <v>107</v>
      </c>
      <c r="I4" s="5" t="s">
        <v>108</v>
      </c>
      <c r="J4" s="5" t="s">
        <v>109</v>
      </c>
      <c r="K4" s="5" t="s">
        <v>110</v>
      </c>
      <c r="L4" s="5" t="s">
        <v>111</v>
      </c>
      <c r="M4" s="5" t="s">
        <v>112</v>
      </c>
      <c r="N4" s="5" t="s">
        <v>113</v>
      </c>
      <c r="O4" s="5" t="s">
        <v>114</v>
      </c>
      <c r="P4" s="5" t="s">
        <v>115</v>
      </c>
      <c r="Q4" s="5" t="s">
        <v>116</v>
      </c>
      <c r="R4" s="5" t="s">
        <v>117</v>
      </c>
      <c r="S4" s="5" t="s">
        <v>118</v>
      </c>
      <c r="T4" s="5" t="s">
        <v>119</v>
      </c>
      <c r="U4" s="5" t="s">
        <v>120</v>
      </c>
    </row>
    <row r="5" customFormat="false" ht="28.35" hidden="false" customHeight="false" outlineLevel="0" collapsed="false">
      <c r="A5" s="9" t="s">
        <v>121</v>
      </c>
      <c r="B5" s="6" t="s">
        <v>122</v>
      </c>
      <c r="C5" s="6" t="s">
        <v>123</v>
      </c>
      <c r="D5" s="6" t="s">
        <v>124</v>
      </c>
      <c r="E5" s="6" t="s">
        <v>125</v>
      </c>
      <c r="F5" s="9" t="s">
        <v>126</v>
      </c>
      <c r="G5" s="9" t="s">
        <v>127</v>
      </c>
      <c r="H5" s="9" t="s">
        <v>166</v>
      </c>
      <c r="I5" s="6" t="s">
        <v>129</v>
      </c>
      <c r="J5" s="20" t="n">
        <v>1</v>
      </c>
      <c r="K5" s="14" t="n">
        <f aca="false">Assumptions!$B$21</f>
        <v>80000000</v>
      </c>
      <c r="L5" s="19" t="n">
        <f aca="false">M5/K5</f>
        <v>0.180555555555556</v>
      </c>
      <c r="M5" s="14" t="n">
        <f aca="false">O5/N5</f>
        <v>14444444.4444444</v>
      </c>
      <c r="N5" s="20" t="n">
        <v>3</v>
      </c>
      <c r="O5" s="14" t="n">
        <f aca="false">R5/Assumptions!$B$18</f>
        <v>43333333.3333333</v>
      </c>
      <c r="P5" s="14" t="n">
        <f aca="false">O5*Assumptions!$B$16</f>
        <v>346666.666666667</v>
      </c>
      <c r="Q5" s="23" t="n">
        <f aca="false">P5/O5</f>
        <v>0.008</v>
      </c>
      <c r="R5" s="14" t="n">
        <f aca="false">T5*10000000/J5</f>
        <v>13000000</v>
      </c>
      <c r="S5" s="8" t="n">
        <f aca="false">R5/O5</f>
        <v>0.3</v>
      </c>
      <c r="T5" s="7" t="n">
        <v>1.3</v>
      </c>
      <c r="U5" s="9" t="s">
        <v>229</v>
      </c>
    </row>
    <row r="6" customFormat="false" ht="28.35" hidden="false" customHeight="false" outlineLevel="0" collapsed="false">
      <c r="A6" s="9" t="s">
        <v>131</v>
      </c>
      <c r="B6" s="6" t="s">
        <v>122</v>
      </c>
      <c r="C6" s="6" t="s">
        <v>123</v>
      </c>
      <c r="D6" s="6" t="s">
        <v>124</v>
      </c>
      <c r="E6" s="6" t="s">
        <v>125</v>
      </c>
      <c r="F6" s="9" t="s">
        <v>126</v>
      </c>
      <c r="G6" s="9" t="s">
        <v>127</v>
      </c>
      <c r="H6" s="9" t="s">
        <v>168</v>
      </c>
      <c r="I6" s="6" t="s">
        <v>133</v>
      </c>
      <c r="J6" s="20" t="n">
        <v>80</v>
      </c>
      <c r="K6" s="14" t="n">
        <f aca="false">Assumptions!$B$21</f>
        <v>80000000</v>
      </c>
      <c r="L6" s="19" t="n">
        <f aca="false">M6/K6</f>
        <v>0.416666666666667</v>
      </c>
      <c r="M6" s="14" t="n">
        <f aca="false">O6/N6</f>
        <v>33333333.3333333</v>
      </c>
      <c r="N6" s="20" t="n">
        <v>3</v>
      </c>
      <c r="O6" s="14" t="n">
        <f aca="false">T6*10000000/J6*1000</f>
        <v>100000000</v>
      </c>
      <c r="P6" s="14" t="n">
        <f aca="false">O6*Assumptions!$B$16</f>
        <v>800000</v>
      </c>
      <c r="Q6" s="23" t="n">
        <f aca="false">P6/O6</f>
        <v>0.008</v>
      </c>
      <c r="T6" s="7" t="n">
        <v>0.8</v>
      </c>
      <c r="U6" s="9" t="s">
        <v>229</v>
      </c>
    </row>
    <row r="7" customFormat="false" ht="28.35" hidden="false" customHeight="false" outlineLevel="0" collapsed="false">
      <c r="A7" s="9" t="s">
        <v>230</v>
      </c>
      <c r="B7" s="6" t="s">
        <v>122</v>
      </c>
      <c r="C7" s="6" t="s">
        <v>123</v>
      </c>
      <c r="D7" s="6" t="s">
        <v>124</v>
      </c>
      <c r="E7" s="6" t="s">
        <v>231</v>
      </c>
      <c r="F7" s="9" t="s">
        <v>126</v>
      </c>
      <c r="G7" s="9" t="s">
        <v>127</v>
      </c>
      <c r="H7" s="9" t="s">
        <v>232</v>
      </c>
      <c r="I7" s="6" t="s">
        <v>133</v>
      </c>
      <c r="J7" s="20" t="n">
        <v>250</v>
      </c>
      <c r="K7" s="14" t="n">
        <f aca="false">Assumptions!$B$21</f>
        <v>80000000</v>
      </c>
      <c r="L7" s="19" t="n">
        <f aca="false">M7/K7</f>
        <v>0.1</v>
      </c>
      <c r="M7" s="14" t="n">
        <f aca="false">O7/N7</f>
        <v>8000000</v>
      </c>
      <c r="N7" s="20" t="n">
        <v>3</v>
      </c>
      <c r="O7" s="14" t="n">
        <f aca="false">T7*10000000/J7*1000</f>
        <v>24000000</v>
      </c>
      <c r="P7" s="14" t="n">
        <f aca="false">O7*Assumptions!$B$16</f>
        <v>192000</v>
      </c>
      <c r="Q7" s="23" t="n">
        <f aca="false">P7/O7</f>
        <v>0.008</v>
      </c>
      <c r="T7" s="7" t="n">
        <v>0.6</v>
      </c>
      <c r="U7" s="9" t="s">
        <v>233</v>
      </c>
    </row>
    <row r="8" customFormat="false" ht="28.35" hidden="false" customHeight="false" outlineLevel="0" collapsed="false">
      <c r="A8" s="9" t="s">
        <v>171</v>
      </c>
      <c r="B8" s="6" t="s">
        <v>139</v>
      </c>
      <c r="C8" s="6" t="s">
        <v>140</v>
      </c>
      <c r="D8" s="6" t="s">
        <v>141</v>
      </c>
      <c r="E8" s="6" t="s">
        <v>125</v>
      </c>
      <c r="F8" s="9" t="s">
        <v>126</v>
      </c>
      <c r="G8" s="9" t="s">
        <v>127</v>
      </c>
      <c r="H8" s="9" t="s">
        <v>172</v>
      </c>
      <c r="I8" s="6" t="s">
        <v>160</v>
      </c>
      <c r="J8" s="20" t="s">
        <v>161</v>
      </c>
      <c r="N8" s="20"/>
      <c r="T8" s="7" t="n">
        <v>0.7</v>
      </c>
      <c r="U8" s="9" t="s">
        <v>173</v>
      </c>
    </row>
    <row r="9" customFormat="false" ht="28.35" hidden="false" customHeight="false" outlineLevel="0" collapsed="false">
      <c r="A9" s="9" t="s">
        <v>138</v>
      </c>
      <c r="B9" s="6" t="s">
        <v>139</v>
      </c>
      <c r="C9" s="6" t="s">
        <v>140</v>
      </c>
      <c r="D9" s="6" t="s">
        <v>141</v>
      </c>
      <c r="E9" s="6" t="s">
        <v>125</v>
      </c>
      <c r="F9" s="9" t="s">
        <v>142</v>
      </c>
      <c r="G9" s="9" t="s">
        <v>127</v>
      </c>
      <c r="H9" s="9" t="s">
        <v>143</v>
      </c>
      <c r="I9" s="6" t="s">
        <v>144</v>
      </c>
      <c r="J9" s="20" t="n">
        <v>12</v>
      </c>
      <c r="K9" s="14" t="n">
        <f aca="false">Assumptions!$B$21</f>
        <v>80000000</v>
      </c>
      <c r="L9" s="19" t="n">
        <f aca="false">M9/K9</f>
        <v>0.231481481481481</v>
      </c>
      <c r="M9" s="14" t="n">
        <f aca="false">O9/N9</f>
        <v>18518518.5185185</v>
      </c>
      <c r="N9" s="20" t="n">
        <v>3</v>
      </c>
      <c r="O9" s="14" t="n">
        <f aca="false">P9/Assumptions!$B$17</f>
        <v>55555555.5555556</v>
      </c>
      <c r="P9" s="14" t="n">
        <f aca="false">T9*10000000/J9</f>
        <v>666666.666666667</v>
      </c>
      <c r="Q9" s="23" t="n">
        <f aca="false">P9/O9</f>
        <v>0.012</v>
      </c>
      <c r="T9" s="7" t="n">
        <v>0.8</v>
      </c>
      <c r="U9" s="9" t="s">
        <v>234</v>
      </c>
    </row>
    <row r="10" customFormat="false" ht="28.35" hidden="false" customHeight="false" outlineLevel="0" collapsed="false">
      <c r="A10" s="9" t="s">
        <v>175</v>
      </c>
      <c r="B10" s="6" t="s">
        <v>139</v>
      </c>
      <c r="C10" s="6" t="s">
        <v>140</v>
      </c>
      <c r="D10" s="6" t="s">
        <v>141</v>
      </c>
      <c r="E10" s="6" t="s">
        <v>125</v>
      </c>
      <c r="F10" s="9" t="s">
        <v>142</v>
      </c>
      <c r="G10" s="9" t="s">
        <v>127</v>
      </c>
      <c r="H10" s="9" t="s">
        <v>176</v>
      </c>
      <c r="I10" s="6" t="s">
        <v>144</v>
      </c>
      <c r="J10" s="20" t="n">
        <v>12</v>
      </c>
      <c r="K10" s="14" t="n">
        <f aca="false">Assumptions!$B$21</f>
        <v>80000000</v>
      </c>
      <c r="L10" s="19" t="n">
        <f aca="false">M10/K10</f>
        <v>0.151909722222222</v>
      </c>
      <c r="M10" s="14" t="n">
        <f aca="false">O10/N10</f>
        <v>12152777.7777778</v>
      </c>
      <c r="N10" s="20" t="n">
        <v>4</v>
      </c>
      <c r="O10" s="14" t="n">
        <f aca="false">P10/Assumptions!$B$17</f>
        <v>48611111.1111111</v>
      </c>
      <c r="P10" s="14" t="n">
        <f aca="false">T10*10000000/J10</f>
        <v>583333.333333333</v>
      </c>
      <c r="Q10" s="23" t="n">
        <f aca="false">P10/O10</f>
        <v>0.012</v>
      </c>
      <c r="T10" s="7" t="n">
        <v>0.7</v>
      </c>
      <c r="U10" s="9" t="s">
        <v>235</v>
      </c>
    </row>
    <row r="11" customFormat="false" ht="41.75" hidden="false" customHeight="false" outlineLevel="0" collapsed="false">
      <c r="A11" s="9" t="s">
        <v>178</v>
      </c>
      <c r="B11" s="6" t="s">
        <v>147</v>
      </c>
      <c r="C11" s="6" t="s">
        <v>148</v>
      </c>
      <c r="D11" s="6" t="s">
        <v>141</v>
      </c>
      <c r="E11" s="6" t="s">
        <v>149</v>
      </c>
      <c r="F11" s="9" t="s">
        <v>150</v>
      </c>
      <c r="G11" s="9" t="s">
        <v>127</v>
      </c>
      <c r="H11" s="9" t="s">
        <v>179</v>
      </c>
      <c r="I11" s="6" t="s">
        <v>144</v>
      </c>
      <c r="J11" s="20" t="n">
        <v>25</v>
      </c>
      <c r="K11" s="14" t="n">
        <f aca="false">Assumptions!$B$21</f>
        <v>80000000</v>
      </c>
      <c r="L11" s="19" t="n">
        <f aca="false">M11/K11</f>
        <v>0.5625</v>
      </c>
      <c r="M11" s="14" t="n">
        <f aca="false">O11/N11</f>
        <v>45000000</v>
      </c>
      <c r="N11" s="20" t="n">
        <v>2</v>
      </c>
      <c r="O11" s="14" t="n">
        <f aca="false">P11/Assumptions!$B$17</f>
        <v>90000000</v>
      </c>
      <c r="P11" s="14" t="n">
        <f aca="false">T11*10000000/J11</f>
        <v>1080000</v>
      </c>
      <c r="Q11" s="23" t="n">
        <f aca="false">P11/O11</f>
        <v>0.012</v>
      </c>
      <c r="T11" s="7" t="n">
        <v>2.7</v>
      </c>
      <c r="U11" s="9" t="s">
        <v>236</v>
      </c>
    </row>
    <row r="12" customFormat="false" ht="41.75" hidden="false" customHeight="false" outlineLevel="0" collapsed="false">
      <c r="A12" s="9" t="s">
        <v>181</v>
      </c>
      <c r="B12" s="6" t="s">
        <v>147</v>
      </c>
      <c r="C12" s="6" t="s">
        <v>148</v>
      </c>
      <c r="D12" s="6" t="s">
        <v>141</v>
      </c>
      <c r="E12" s="6" t="s">
        <v>125</v>
      </c>
      <c r="F12" s="9" t="s">
        <v>142</v>
      </c>
      <c r="G12" s="9" t="s">
        <v>127</v>
      </c>
      <c r="H12" s="9" t="s">
        <v>182</v>
      </c>
      <c r="I12" s="6" t="s">
        <v>144</v>
      </c>
      <c r="J12" s="20" t="n">
        <v>12</v>
      </c>
      <c r="K12" s="14" t="n">
        <f aca="false">Assumptions!$B$21</f>
        <v>80000000</v>
      </c>
      <c r="L12" s="19" t="n">
        <f aca="false">M12/K12</f>
        <v>0.5859375</v>
      </c>
      <c r="M12" s="14" t="n">
        <f aca="false">O12/N12</f>
        <v>46875000</v>
      </c>
      <c r="N12" s="20" t="n">
        <v>4</v>
      </c>
      <c r="O12" s="14" t="n">
        <f aca="false">P12/Assumptions!$B$17</f>
        <v>187500000</v>
      </c>
      <c r="P12" s="14" t="n">
        <f aca="false">T12*10000000/J12</f>
        <v>2250000</v>
      </c>
      <c r="Q12" s="23" t="n">
        <f aca="false">P12/O12</f>
        <v>0.012</v>
      </c>
      <c r="T12" s="7" t="n">
        <v>2.7</v>
      </c>
      <c r="U12" s="9" t="s">
        <v>237</v>
      </c>
    </row>
    <row r="13" customFormat="false" ht="28.35" hidden="false" customHeight="false" outlineLevel="0" collapsed="false">
      <c r="A13" s="9" t="s">
        <v>184</v>
      </c>
      <c r="B13" s="6" t="s">
        <v>147</v>
      </c>
      <c r="C13" s="6" t="s">
        <v>148</v>
      </c>
      <c r="D13" s="6" t="s">
        <v>141</v>
      </c>
      <c r="E13" s="6" t="s">
        <v>125</v>
      </c>
      <c r="F13" s="9" t="s">
        <v>126</v>
      </c>
      <c r="G13" s="9" t="s">
        <v>127</v>
      </c>
      <c r="H13" s="9" t="s">
        <v>185</v>
      </c>
      <c r="I13" s="6" t="s">
        <v>133</v>
      </c>
      <c r="J13" s="20" t="n">
        <v>150</v>
      </c>
      <c r="K13" s="14" t="n">
        <f aca="false">Assumptions!$B$21</f>
        <v>80000000</v>
      </c>
      <c r="L13" s="19" t="n">
        <f aca="false">M13/K13</f>
        <v>0.444444444444445</v>
      </c>
      <c r="M13" s="14" t="n">
        <f aca="false">O13/N13</f>
        <v>35555555.5555556</v>
      </c>
      <c r="N13" s="20" t="n">
        <v>3</v>
      </c>
      <c r="O13" s="14" t="n">
        <f aca="false">T13*10000000/J13*1000</f>
        <v>106666666.666667</v>
      </c>
      <c r="P13" s="14" t="n">
        <f aca="false">O13*Assumptions!$B$19</f>
        <v>1066666.66666667</v>
      </c>
      <c r="Q13" s="23" t="n">
        <f aca="false">P13/O13</f>
        <v>0.01</v>
      </c>
      <c r="T13" s="7" t="n">
        <v>1.6</v>
      </c>
      <c r="U13" s="9" t="s">
        <v>238</v>
      </c>
    </row>
    <row r="14" customFormat="false" ht="28.35" hidden="false" customHeight="false" outlineLevel="0" collapsed="false">
      <c r="A14" s="9" t="s">
        <v>239</v>
      </c>
      <c r="B14" s="6" t="s">
        <v>147</v>
      </c>
      <c r="C14" s="6" t="s">
        <v>148</v>
      </c>
      <c r="D14" s="6" t="s">
        <v>141</v>
      </c>
      <c r="E14" s="6" t="s">
        <v>240</v>
      </c>
      <c r="F14" s="9" t="s">
        <v>241</v>
      </c>
      <c r="G14" s="9" t="s">
        <v>242</v>
      </c>
      <c r="H14" s="9" t="s">
        <v>243</v>
      </c>
      <c r="I14" s="6" t="s">
        <v>160</v>
      </c>
      <c r="J14" s="20" t="s">
        <v>161</v>
      </c>
      <c r="N14" s="20"/>
      <c r="T14" s="7" t="n">
        <v>1.7</v>
      </c>
      <c r="U14" s="9" t="s">
        <v>244</v>
      </c>
    </row>
    <row r="15" customFormat="false" ht="28.35" hidden="false" customHeight="false" outlineLevel="0" collapsed="false">
      <c r="A15" s="9" t="s">
        <v>245</v>
      </c>
      <c r="B15" s="6" t="s">
        <v>188</v>
      </c>
      <c r="C15" s="6" t="s">
        <v>189</v>
      </c>
      <c r="D15" s="6" t="s">
        <v>190</v>
      </c>
      <c r="E15" s="6" t="s">
        <v>240</v>
      </c>
      <c r="F15" s="9" t="s">
        <v>246</v>
      </c>
      <c r="G15" s="9" t="s">
        <v>247</v>
      </c>
      <c r="H15" s="9" t="s">
        <v>248</v>
      </c>
      <c r="I15" s="6" t="s">
        <v>160</v>
      </c>
      <c r="J15" s="20" t="s">
        <v>161</v>
      </c>
      <c r="N15" s="20"/>
      <c r="T15" s="7" t="n">
        <v>0.5</v>
      </c>
      <c r="U15" s="9" t="s">
        <v>249</v>
      </c>
    </row>
    <row r="16" customFormat="false" ht="15" hidden="false" customHeight="false" outlineLevel="0" collapsed="false">
      <c r="A16" s="9" t="s">
        <v>187</v>
      </c>
      <c r="B16" s="6" t="s">
        <v>188</v>
      </c>
      <c r="C16" s="6" t="s">
        <v>189</v>
      </c>
      <c r="D16" s="6" t="s">
        <v>190</v>
      </c>
      <c r="E16" s="6" t="s">
        <v>149</v>
      </c>
      <c r="F16" s="9" t="s">
        <v>250</v>
      </c>
      <c r="G16" s="9" t="s">
        <v>161</v>
      </c>
      <c r="H16" s="9" t="s">
        <v>192</v>
      </c>
      <c r="I16" s="6" t="s">
        <v>160</v>
      </c>
      <c r="J16" s="20" t="s">
        <v>161</v>
      </c>
      <c r="N16" s="20"/>
      <c r="T16" s="7" t="n">
        <v>0.6</v>
      </c>
      <c r="U16" s="9" t="s">
        <v>251</v>
      </c>
    </row>
    <row r="17" customFormat="false" ht="15" hidden="false" customHeight="false" outlineLevel="0" collapsed="false">
      <c r="A17" s="10" t="s">
        <v>153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1" t="n">
        <f aca="false">SUM(T5:T16)</f>
        <v>14.7</v>
      </c>
      <c r="U17" s="13"/>
    </row>
    <row r="20" customFormat="false" ht="15" hidden="false" customHeight="false" outlineLevel="0" collapsed="false">
      <c r="A20" s="26" t="s">
        <v>194</v>
      </c>
      <c r="B20" s="26"/>
      <c r="C20" s="26"/>
      <c r="D20" s="26"/>
      <c r="E20" s="26"/>
      <c r="F20" s="26"/>
      <c r="G20" s="26"/>
      <c r="H20" s="26"/>
    </row>
    <row r="21" customFormat="false" ht="32.8" hidden="false" customHeight="false" outlineLevel="0" collapsed="false">
      <c r="A21" s="5" t="s">
        <v>195</v>
      </c>
      <c r="B21" s="5" t="s">
        <v>196</v>
      </c>
      <c r="C21" s="5" t="s">
        <v>100</v>
      </c>
      <c r="D21" s="5" t="s">
        <v>197</v>
      </c>
      <c r="E21" s="5" t="s">
        <v>198</v>
      </c>
      <c r="F21" s="5" t="s">
        <v>112</v>
      </c>
      <c r="G21" s="5" t="s">
        <v>199</v>
      </c>
      <c r="H21" s="5" t="s">
        <v>200</v>
      </c>
    </row>
    <row r="22" customFormat="false" ht="68.65" hidden="false" customHeight="false" outlineLevel="0" collapsed="false">
      <c r="A22" s="6" t="s">
        <v>201</v>
      </c>
      <c r="B22" s="9" t="s">
        <v>252</v>
      </c>
      <c r="C22" s="6" t="s">
        <v>203</v>
      </c>
      <c r="D22" s="9" t="s">
        <v>204</v>
      </c>
      <c r="E22" s="20" t="n">
        <v>16</v>
      </c>
      <c r="F22" s="14" t="n">
        <v>2400000</v>
      </c>
      <c r="G22" s="14" t="n">
        <v>250000</v>
      </c>
      <c r="H22" s="14" t="n">
        <f aca="false">E22*G22</f>
        <v>4000000</v>
      </c>
    </row>
    <row r="23" customFormat="false" ht="41.75" hidden="false" customHeight="false" outlineLevel="0" collapsed="false">
      <c r="A23" s="6" t="s">
        <v>205</v>
      </c>
      <c r="B23" s="9" t="s">
        <v>206</v>
      </c>
      <c r="C23" s="6" t="s">
        <v>138</v>
      </c>
      <c r="D23" s="9" t="s">
        <v>207</v>
      </c>
      <c r="E23" s="20" t="n">
        <v>80</v>
      </c>
      <c r="F23" s="14" t="n">
        <v>1600000</v>
      </c>
      <c r="G23" s="14" t="n">
        <v>40000</v>
      </c>
      <c r="H23" s="14" t="n">
        <f aca="false">E23*G23</f>
        <v>3200000</v>
      </c>
    </row>
    <row r="24" customFormat="false" ht="28.35" hidden="false" customHeight="false" outlineLevel="0" collapsed="false">
      <c r="A24" s="6" t="s">
        <v>208</v>
      </c>
      <c r="B24" s="9" t="s">
        <v>253</v>
      </c>
      <c r="C24" s="6" t="s">
        <v>138</v>
      </c>
      <c r="D24" s="9" t="s">
        <v>210</v>
      </c>
      <c r="E24" s="20" t="n">
        <v>280</v>
      </c>
      <c r="F24" s="14" t="n">
        <v>1120000</v>
      </c>
      <c r="G24" s="14" t="n">
        <v>10000</v>
      </c>
      <c r="H24" s="14" t="n">
        <f aca="false">E24*G24</f>
        <v>2800000</v>
      </c>
    </row>
    <row r="25" customFormat="false" ht="15" hidden="false" customHeight="false" outlineLevel="0" collapsed="false">
      <c r="A25" s="10" t="s">
        <v>211</v>
      </c>
      <c r="B25" s="13"/>
      <c r="C25" s="13"/>
      <c r="D25" s="13"/>
      <c r="E25" s="13"/>
      <c r="F25" s="13"/>
      <c r="G25" s="13"/>
      <c r="H25" s="27" t="n">
        <f aca="false">SUM(H22:H24)</f>
        <v>10000000</v>
      </c>
    </row>
    <row r="28" customFormat="false" ht="15" hidden="false" customHeight="false" outlineLevel="0" collapsed="false">
      <c r="A28" s="26" t="s">
        <v>212</v>
      </c>
      <c r="B28" s="26"/>
      <c r="C28" s="26"/>
      <c r="D28" s="26"/>
      <c r="E28" s="26"/>
      <c r="F28" s="26"/>
      <c r="G28" s="26"/>
      <c r="H28" s="26"/>
    </row>
    <row r="29" customFormat="false" ht="22.35" hidden="false" customHeight="false" outlineLevel="0" collapsed="false">
      <c r="A29" s="5" t="s">
        <v>213</v>
      </c>
      <c r="B29" s="5" t="s">
        <v>214</v>
      </c>
      <c r="C29" s="5" t="s">
        <v>215</v>
      </c>
      <c r="D29" s="5" t="s">
        <v>216</v>
      </c>
      <c r="E29" s="5" t="s">
        <v>217</v>
      </c>
      <c r="F29" s="5" t="s">
        <v>218</v>
      </c>
      <c r="G29" s="5" t="s">
        <v>219</v>
      </c>
      <c r="H29" s="5" t="s">
        <v>220</v>
      </c>
    </row>
    <row r="30" customFormat="false" ht="82.05" hidden="false" customHeight="false" outlineLevel="0" collapsed="false">
      <c r="A30" s="6" t="s">
        <v>221</v>
      </c>
      <c r="B30" s="9" t="s">
        <v>254</v>
      </c>
      <c r="C30" s="9" t="s">
        <v>255</v>
      </c>
      <c r="D30" s="6" t="s">
        <v>256</v>
      </c>
      <c r="E30" s="20"/>
      <c r="F30" s="20"/>
      <c r="G30" s="14"/>
      <c r="H30" s="14" t="n">
        <v>600000</v>
      </c>
    </row>
    <row r="31" customFormat="false" ht="82.05" hidden="false" customHeight="false" outlineLevel="0" collapsed="false">
      <c r="A31" s="6" t="s">
        <v>221</v>
      </c>
      <c r="B31" s="9" t="s">
        <v>257</v>
      </c>
      <c r="C31" s="9" t="s">
        <v>255</v>
      </c>
      <c r="D31" s="6" t="s">
        <v>256</v>
      </c>
      <c r="E31" s="20"/>
      <c r="F31" s="20"/>
      <c r="G31" s="14"/>
      <c r="H31" s="14" t="n">
        <v>600000</v>
      </c>
    </row>
    <row r="32" customFormat="false" ht="82.05" hidden="false" customHeight="false" outlineLevel="0" collapsed="false">
      <c r="A32" s="6" t="s">
        <v>221</v>
      </c>
      <c r="B32" s="9" t="s">
        <v>258</v>
      </c>
      <c r="C32" s="9" t="s">
        <v>255</v>
      </c>
      <c r="D32" s="6" t="s">
        <v>256</v>
      </c>
      <c r="E32" s="20"/>
      <c r="F32" s="20"/>
      <c r="G32" s="14"/>
      <c r="H32" s="14" t="n">
        <v>600000</v>
      </c>
    </row>
    <row r="33" customFormat="false" ht="82.05" hidden="false" customHeight="false" outlineLevel="0" collapsed="false">
      <c r="A33" s="6" t="s">
        <v>259</v>
      </c>
      <c r="B33" s="9" t="s">
        <v>260</v>
      </c>
      <c r="C33" s="9" t="s">
        <v>255</v>
      </c>
      <c r="D33" s="6" t="s">
        <v>256</v>
      </c>
      <c r="E33" s="20"/>
      <c r="F33" s="20"/>
      <c r="G33" s="14"/>
      <c r="H33" s="14" t="n">
        <v>550000</v>
      </c>
    </row>
    <row r="34" customFormat="false" ht="82.05" hidden="false" customHeight="false" outlineLevel="0" collapsed="false">
      <c r="A34" s="6" t="s">
        <v>259</v>
      </c>
      <c r="B34" s="9" t="s">
        <v>261</v>
      </c>
      <c r="C34" s="9" t="s">
        <v>255</v>
      </c>
      <c r="D34" s="6" t="s">
        <v>256</v>
      </c>
      <c r="E34" s="20"/>
      <c r="F34" s="20"/>
      <c r="G34" s="14"/>
      <c r="H34" s="14" t="n">
        <v>550000</v>
      </c>
    </row>
    <row r="35" customFormat="false" ht="82.05" hidden="false" customHeight="false" outlineLevel="0" collapsed="false">
      <c r="A35" s="6" t="s">
        <v>259</v>
      </c>
      <c r="B35" s="9" t="s">
        <v>262</v>
      </c>
      <c r="C35" s="9" t="s">
        <v>255</v>
      </c>
      <c r="D35" s="6" t="s">
        <v>256</v>
      </c>
      <c r="E35" s="20"/>
      <c r="F35" s="20"/>
      <c r="G35" s="14"/>
      <c r="H35" s="14" t="n">
        <v>550000</v>
      </c>
    </row>
    <row r="36" customFormat="false" ht="82.05" hidden="false" customHeight="false" outlineLevel="0" collapsed="false">
      <c r="A36" s="6" t="s">
        <v>263</v>
      </c>
      <c r="B36" s="9" t="s">
        <v>264</v>
      </c>
      <c r="C36" s="9" t="s">
        <v>255</v>
      </c>
      <c r="D36" s="6" t="s">
        <v>256</v>
      </c>
      <c r="E36" s="20"/>
      <c r="F36" s="20"/>
      <c r="G36" s="14"/>
      <c r="H36" s="14" t="n">
        <v>500000</v>
      </c>
    </row>
    <row r="37" customFormat="false" ht="82.05" hidden="false" customHeight="false" outlineLevel="0" collapsed="false">
      <c r="A37" s="6" t="s">
        <v>263</v>
      </c>
      <c r="B37" s="9" t="s">
        <v>265</v>
      </c>
      <c r="C37" s="9" t="s">
        <v>255</v>
      </c>
      <c r="D37" s="6" t="s">
        <v>256</v>
      </c>
      <c r="E37" s="20"/>
      <c r="F37" s="20"/>
      <c r="G37" s="14"/>
      <c r="H37" s="14" t="n">
        <v>500000</v>
      </c>
    </row>
    <row r="38" customFormat="false" ht="82.05" hidden="false" customHeight="false" outlineLevel="0" collapsed="false">
      <c r="A38" s="6" t="s">
        <v>263</v>
      </c>
      <c r="B38" s="9" t="s">
        <v>266</v>
      </c>
      <c r="C38" s="9" t="s">
        <v>255</v>
      </c>
      <c r="D38" s="6" t="s">
        <v>256</v>
      </c>
      <c r="E38" s="20"/>
      <c r="F38" s="20"/>
      <c r="G38" s="14"/>
      <c r="H38" s="14" t="n">
        <v>550000</v>
      </c>
    </row>
    <row r="39" customFormat="false" ht="15" hidden="false" customHeight="false" outlineLevel="0" collapsed="false">
      <c r="A39" s="10" t="s">
        <v>227</v>
      </c>
      <c r="B39" s="13"/>
      <c r="C39" s="13"/>
      <c r="D39" s="13"/>
      <c r="E39" s="13"/>
      <c r="F39" s="13"/>
      <c r="G39" s="13"/>
      <c r="H39" s="27" t="n">
        <f aca="false">SUM(H30:H38)</f>
        <v>5000000</v>
      </c>
    </row>
    <row r="41" customFormat="false" ht="15" hidden="false" customHeight="false" outlineLevel="0" collapsed="false">
      <c r="A41" s="24" t="s">
        <v>154</v>
      </c>
      <c r="B41" s="25" t="n">
        <v>16.2</v>
      </c>
      <c r="C41" s="3" t="s">
        <v>155</v>
      </c>
    </row>
  </sheetData>
  <mergeCells count="4">
    <mergeCell ref="A1:U1"/>
    <mergeCell ref="K3:S3"/>
    <mergeCell ref="A20:H20"/>
    <mergeCell ref="A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"/>
    <col collapsed="false" customWidth="true" hidden="false" outlineLevel="0" max="3" min="3" style="0" width="7"/>
    <col collapsed="false" customWidth="true" hidden="false" outlineLevel="0" max="5" min="4" style="0" width="11"/>
    <col collapsed="false" customWidth="true" hidden="false" outlineLevel="0" max="6" min="6" style="0" width="17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3"/>
    <col collapsed="false" customWidth="true" hidden="false" outlineLevel="0" max="12" min="12" style="0" width="9"/>
    <col collapsed="false" customWidth="true" hidden="false" outlineLevel="0" max="13" min="13" style="0" width="12"/>
    <col collapsed="false" customWidth="true" hidden="false" outlineLevel="0" max="14" min="14" style="0" width="7"/>
    <col collapsed="false" customWidth="true" hidden="false" outlineLevel="0" max="15" min="15" style="0" width="13"/>
    <col collapsed="false" customWidth="true" hidden="false" outlineLevel="0" max="16" min="16" style="0" width="11"/>
    <col collapsed="false" customWidth="true" hidden="false" outlineLevel="0" max="17" min="17" style="0" width="9"/>
    <col collapsed="false" customWidth="true" hidden="false" outlineLevel="0" max="18" min="18" style="0" width="11"/>
    <col collapsed="false" customWidth="true" hidden="false" outlineLevel="0" max="19" min="19" style="0" width="9"/>
    <col collapsed="false" customWidth="true" hidden="false" outlineLevel="0" max="20" min="20" style="0" width="11"/>
    <col collapsed="false" customWidth="true" hidden="false" outlineLevel="0" max="21" min="21" style="0" width="26"/>
  </cols>
  <sheetData>
    <row r="1" customFormat="false" ht="16.15" hidden="false" customHeight="false" outlineLevel="0" collapsed="false">
      <c r="A1" s="21" t="s">
        <v>267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3" customFormat="false" ht="15" hidden="false" customHeight="false" outlineLevel="0" collapsed="false">
      <c r="K3" s="22" t="s">
        <v>99</v>
      </c>
      <c r="L3" s="22"/>
      <c r="M3" s="22"/>
      <c r="N3" s="22"/>
      <c r="O3" s="22"/>
      <c r="P3" s="22"/>
      <c r="Q3" s="22"/>
      <c r="R3" s="22"/>
      <c r="S3" s="22"/>
    </row>
    <row r="4" customFormat="false" ht="22.35" hidden="false" customHeight="false" outlineLevel="0" collapsed="false">
      <c r="A4" s="5" t="s">
        <v>100</v>
      </c>
      <c r="B4" s="5" t="s">
        <v>101</v>
      </c>
      <c r="C4" s="5" t="s">
        <v>102</v>
      </c>
      <c r="D4" s="5" t="s">
        <v>103</v>
      </c>
      <c r="E4" s="5" t="s">
        <v>104</v>
      </c>
      <c r="F4" s="5" t="s">
        <v>105</v>
      </c>
      <c r="G4" s="5" t="s">
        <v>106</v>
      </c>
      <c r="H4" s="5" t="s">
        <v>107</v>
      </c>
      <c r="I4" s="5" t="s">
        <v>108</v>
      </c>
      <c r="J4" s="5" t="s">
        <v>109</v>
      </c>
      <c r="K4" s="5" t="s">
        <v>110</v>
      </c>
      <c r="L4" s="5" t="s">
        <v>111</v>
      </c>
      <c r="M4" s="5" t="s">
        <v>112</v>
      </c>
      <c r="N4" s="5" t="s">
        <v>113</v>
      </c>
      <c r="O4" s="5" t="s">
        <v>114</v>
      </c>
      <c r="P4" s="5" t="s">
        <v>115</v>
      </c>
      <c r="Q4" s="5" t="s">
        <v>116</v>
      </c>
      <c r="R4" s="5" t="s">
        <v>117</v>
      </c>
      <c r="S4" s="5" t="s">
        <v>118</v>
      </c>
      <c r="T4" s="5" t="s">
        <v>119</v>
      </c>
      <c r="U4" s="5" t="s">
        <v>120</v>
      </c>
    </row>
    <row r="5" customFormat="false" ht="28.35" hidden="false" customHeight="false" outlineLevel="0" collapsed="false">
      <c r="A5" s="9" t="s">
        <v>121</v>
      </c>
      <c r="B5" s="6" t="s">
        <v>122</v>
      </c>
      <c r="C5" s="6" t="s">
        <v>123</v>
      </c>
      <c r="D5" s="6" t="s">
        <v>124</v>
      </c>
      <c r="E5" s="6" t="s">
        <v>125</v>
      </c>
      <c r="F5" s="9" t="s">
        <v>126</v>
      </c>
      <c r="G5" s="9" t="s">
        <v>127</v>
      </c>
      <c r="H5" s="9" t="s">
        <v>166</v>
      </c>
      <c r="I5" s="6" t="s">
        <v>129</v>
      </c>
      <c r="J5" s="20" t="n">
        <v>1</v>
      </c>
      <c r="K5" s="14" t="n">
        <f aca="false">Assumptions!$B$21</f>
        <v>80000000</v>
      </c>
      <c r="L5" s="19" t="n">
        <f aca="false">M5/K5</f>
        <v>0.0694444444444445</v>
      </c>
      <c r="M5" s="14" t="n">
        <f aca="false">O5/N5</f>
        <v>5555555.55555556</v>
      </c>
      <c r="N5" s="20" t="n">
        <v>3</v>
      </c>
      <c r="O5" s="14" t="n">
        <f aca="false">R5/Assumptions!$B$18</f>
        <v>16666666.6666667</v>
      </c>
      <c r="P5" s="14" t="n">
        <f aca="false">O5*Assumptions!$B$16</f>
        <v>133333.333333333</v>
      </c>
      <c r="Q5" s="23" t="n">
        <f aca="false">P5/O5</f>
        <v>0.008</v>
      </c>
      <c r="R5" s="14" t="n">
        <f aca="false">T5*10000000/J5</f>
        <v>5000000</v>
      </c>
      <c r="S5" s="8" t="n">
        <f aca="false">R5/O5</f>
        <v>0.3</v>
      </c>
      <c r="T5" s="7" t="n">
        <v>0.5</v>
      </c>
      <c r="U5" s="9" t="s">
        <v>170</v>
      </c>
    </row>
    <row r="6" customFormat="false" ht="28.35" hidden="false" customHeight="false" outlineLevel="0" collapsed="false">
      <c r="A6" s="9" t="s">
        <v>131</v>
      </c>
      <c r="B6" s="6" t="s">
        <v>122</v>
      </c>
      <c r="C6" s="6" t="s">
        <v>123</v>
      </c>
      <c r="D6" s="6" t="s">
        <v>124</v>
      </c>
      <c r="E6" s="6" t="s">
        <v>125</v>
      </c>
      <c r="F6" s="9" t="s">
        <v>126</v>
      </c>
      <c r="G6" s="9" t="s">
        <v>127</v>
      </c>
      <c r="H6" s="9" t="s">
        <v>168</v>
      </c>
      <c r="I6" s="6" t="s">
        <v>133</v>
      </c>
      <c r="J6" s="20" t="n">
        <v>80</v>
      </c>
      <c r="K6" s="14" t="n">
        <f aca="false">Assumptions!$B$21</f>
        <v>80000000</v>
      </c>
      <c r="L6" s="19" t="n">
        <f aca="false">M6/K6</f>
        <v>0.15625</v>
      </c>
      <c r="M6" s="14" t="n">
        <f aca="false">O6/N6</f>
        <v>12500000</v>
      </c>
      <c r="N6" s="20" t="n">
        <v>3</v>
      </c>
      <c r="O6" s="14" t="n">
        <f aca="false">T6*10000000/J6*1000</f>
        <v>37500000</v>
      </c>
      <c r="P6" s="14" t="n">
        <f aca="false">O6*Assumptions!$B$16</f>
        <v>300000</v>
      </c>
      <c r="Q6" s="23" t="n">
        <f aca="false">P6/O6</f>
        <v>0.008</v>
      </c>
      <c r="T6" s="7" t="n">
        <v>0.3</v>
      </c>
      <c r="U6" s="9" t="s">
        <v>268</v>
      </c>
    </row>
    <row r="7" customFormat="false" ht="28.35" hidden="false" customHeight="false" outlineLevel="0" collapsed="false">
      <c r="A7" s="9" t="s">
        <v>171</v>
      </c>
      <c r="B7" s="6" t="s">
        <v>139</v>
      </c>
      <c r="C7" s="6" t="s">
        <v>140</v>
      </c>
      <c r="D7" s="6" t="s">
        <v>141</v>
      </c>
      <c r="E7" s="6" t="s">
        <v>125</v>
      </c>
      <c r="F7" s="9" t="s">
        <v>126</v>
      </c>
      <c r="G7" s="9" t="s">
        <v>127</v>
      </c>
      <c r="H7" s="9" t="s">
        <v>172</v>
      </c>
      <c r="I7" s="6" t="s">
        <v>160</v>
      </c>
      <c r="J7" s="20" t="s">
        <v>161</v>
      </c>
      <c r="N7" s="20"/>
      <c r="T7" s="7" t="n">
        <v>0.3</v>
      </c>
      <c r="U7" s="9" t="s">
        <v>173</v>
      </c>
    </row>
    <row r="8" customFormat="false" ht="28.35" hidden="false" customHeight="false" outlineLevel="0" collapsed="false">
      <c r="A8" s="9" t="s">
        <v>138</v>
      </c>
      <c r="B8" s="6" t="s">
        <v>139</v>
      </c>
      <c r="C8" s="6" t="s">
        <v>140</v>
      </c>
      <c r="D8" s="6" t="s">
        <v>141</v>
      </c>
      <c r="E8" s="6" t="s">
        <v>125</v>
      </c>
      <c r="F8" s="9" t="s">
        <v>142</v>
      </c>
      <c r="G8" s="9" t="s">
        <v>127</v>
      </c>
      <c r="H8" s="9" t="s">
        <v>143</v>
      </c>
      <c r="I8" s="6" t="s">
        <v>144</v>
      </c>
      <c r="J8" s="20" t="n">
        <v>12</v>
      </c>
      <c r="K8" s="14" t="n">
        <f aca="false">Assumptions!$B$21</f>
        <v>80000000</v>
      </c>
      <c r="L8" s="19" t="n">
        <f aca="false">M8/K8</f>
        <v>0.0868055555555556</v>
      </c>
      <c r="M8" s="14" t="n">
        <f aca="false">O8/N8</f>
        <v>6944444.44444444</v>
      </c>
      <c r="N8" s="20" t="n">
        <v>3</v>
      </c>
      <c r="O8" s="14" t="n">
        <f aca="false">P8/Assumptions!$B$17</f>
        <v>20833333.3333333</v>
      </c>
      <c r="P8" s="14" t="n">
        <f aca="false">T8*10000000/J8</f>
        <v>250000</v>
      </c>
      <c r="Q8" s="23" t="n">
        <f aca="false">P8/O8</f>
        <v>0.012</v>
      </c>
      <c r="T8" s="7" t="n">
        <v>0.3</v>
      </c>
      <c r="U8" s="9" t="s">
        <v>269</v>
      </c>
    </row>
    <row r="9" customFormat="false" ht="41.75" hidden="false" customHeight="false" outlineLevel="0" collapsed="false">
      <c r="A9" s="9" t="s">
        <v>178</v>
      </c>
      <c r="B9" s="6" t="s">
        <v>147</v>
      </c>
      <c r="C9" s="6" t="s">
        <v>148</v>
      </c>
      <c r="D9" s="6" t="s">
        <v>141</v>
      </c>
      <c r="E9" s="6" t="s">
        <v>149</v>
      </c>
      <c r="F9" s="9" t="s">
        <v>150</v>
      </c>
      <c r="G9" s="9" t="s">
        <v>127</v>
      </c>
      <c r="H9" s="9" t="s">
        <v>179</v>
      </c>
      <c r="I9" s="6" t="s">
        <v>144</v>
      </c>
      <c r="J9" s="20" t="n">
        <v>25</v>
      </c>
      <c r="K9" s="14" t="n">
        <f aca="false">Assumptions!$B$21</f>
        <v>80000000</v>
      </c>
      <c r="L9" s="19" t="n">
        <f aca="false">M9/K9</f>
        <v>0.208333333333333</v>
      </c>
      <c r="M9" s="14" t="n">
        <f aca="false">O9/N9</f>
        <v>16666666.6666667</v>
      </c>
      <c r="N9" s="20" t="n">
        <v>2</v>
      </c>
      <c r="O9" s="14" t="n">
        <f aca="false">P9/Assumptions!$B$17</f>
        <v>33333333.3333333</v>
      </c>
      <c r="P9" s="14" t="n">
        <f aca="false">T9*10000000/J9</f>
        <v>400000</v>
      </c>
      <c r="Q9" s="23" t="n">
        <f aca="false">P9/O9</f>
        <v>0.012</v>
      </c>
      <c r="T9" s="7" t="n">
        <v>1</v>
      </c>
      <c r="U9" s="9" t="s">
        <v>270</v>
      </c>
    </row>
    <row r="10" customFormat="false" ht="41.75" hidden="false" customHeight="false" outlineLevel="0" collapsed="false">
      <c r="A10" s="9" t="s">
        <v>181</v>
      </c>
      <c r="B10" s="6" t="s">
        <v>147</v>
      </c>
      <c r="C10" s="6" t="s">
        <v>148</v>
      </c>
      <c r="D10" s="6" t="s">
        <v>141</v>
      </c>
      <c r="E10" s="6" t="s">
        <v>125</v>
      </c>
      <c r="F10" s="9" t="s">
        <v>142</v>
      </c>
      <c r="G10" s="9" t="s">
        <v>127</v>
      </c>
      <c r="H10" s="9" t="s">
        <v>182</v>
      </c>
      <c r="I10" s="6" t="s">
        <v>144</v>
      </c>
      <c r="J10" s="20" t="n">
        <v>12</v>
      </c>
      <c r="K10" s="14" t="n">
        <f aca="false">Assumptions!$B$21</f>
        <v>80000000</v>
      </c>
      <c r="L10" s="19" t="n">
        <f aca="false">M10/K10</f>
        <v>0.173611111111111</v>
      </c>
      <c r="M10" s="14" t="n">
        <f aca="false">O10/N10</f>
        <v>13888888.8888889</v>
      </c>
      <c r="N10" s="20" t="n">
        <v>4</v>
      </c>
      <c r="O10" s="14" t="n">
        <f aca="false">P10/Assumptions!$B$17</f>
        <v>55555555.5555556</v>
      </c>
      <c r="P10" s="14" t="n">
        <f aca="false">T10*10000000/J10</f>
        <v>666666.666666667</v>
      </c>
      <c r="Q10" s="23" t="n">
        <f aca="false">P10/O10</f>
        <v>0.012</v>
      </c>
      <c r="T10" s="7" t="n">
        <v>0.8</v>
      </c>
      <c r="U10" s="9" t="s">
        <v>271</v>
      </c>
    </row>
    <row r="11" customFormat="false" ht="28.35" hidden="false" customHeight="false" outlineLevel="0" collapsed="false">
      <c r="A11" s="9" t="s">
        <v>184</v>
      </c>
      <c r="B11" s="6" t="s">
        <v>147</v>
      </c>
      <c r="C11" s="6" t="s">
        <v>148</v>
      </c>
      <c r="D11" s="6" t="s">
        <v>141</v>
      </c>
      <c r="E11" s="6" t="s">
        <v>125</v>
      </c>
      <c r="F11" s="9" t="s">
        <v>126</v>
      </c>
      <c r="G11" s="9" t="s">
        <v>127</v>
      </c>
      <c r="H11" s="9" t="s">
        <v>185</v>
      </c>
      <c r="I11" s="6" t="s">
        <v>133</v>
      </c>
      <c r="J11" s="20" t="n">
        <v>150</v>
      </c>
      <c r="K11" s="14" t="n">
        <f aca="false">Assumptions!$B$21</f>
        <v>80000000</v>
      </c>
      <c r="L11" s="19" t="n">
        <f aca="false">M11/K11</f>
        <v>0.111111111111111</v>
      </c>
      <c r="M11" s="14" t="n">
        <f aca="false">O11/N11</f>
        <v>8888888.88888889</v>
      </c>
      <c r="N11" s="20" t="n">
        <v>3</v>
      </c>
      <c r="O11" s="14" t="n">
        <f aca="false">T11*10000000/J11*1000</f>
        <v>26666666.6666667</v>
      </c>
      <c r="P11" s="14" t="n">
        <f aca="false">O11*Assumptions!$B$19</f>
        <v>266666.666666667</v>
      </c>
      <c r="Q11" s="23" t="n">
        <f aca="false">P11/O11</f>
        <v>0.01</v>
      </c>
      <c r="T11" s="7" t="n">
        <v>0.4</v>
      </c>
      <c r="U11" s="9" t="s">
        <v>186</v>
      </c>
    </row>
    <row r="12" customFormat="false" ht="28.35" hidden="false" customHeight="false" outlineLevel="0" collapsed="false">
      <c r="A12" s="9" t="s">
        <v>272</v>
      </c>
      <c r="B12" s="6" t="s">
        <v>147</v>
      </c>
      <c r="C12" s="6" t="s">
        <v>148</v>
      </c>
      <c r="D12" s="6" t="s">
        <v>141</v>
      </c>
      <c r="E12" s="6" t="s">
        <v>240</v>
      </c>
      <c r="F12" s="9" t="s">
        <v>273</v>
      </c>
      <c r="G12" s="9" t="s">
        <v>274</v>
      </c>
      <c r="H12" s="9" t="s">
        <v>275</v>
      </c>
      <c r="I12" s="6" t="s">
        <v>160</v>
      </c>
      <c r="J12" s="20" t="s">
        <v>161</v>
      </c>
      <c r="N12" s="20"/>
      <c r="T12" s="7" t="n">
        <v>0.3</v>
      </c>
      <c r="U12" s="9" t="s">
        <v>276</v>
      </c>
    </row>
    <row r="13" customFormat="false" ht="28.35" hidden="false" customHeight="false" outlineLevel="0" collapsed="false">
      <c r="A13" s="9" t="s">
        <v>245</v>
      </c>
      <c r="B13" s="6" t="s">
        <v>188</v>
      </c>
      <c r="C13" s="6" t="s">
        <v>189</v>
      </c>
      <c r="D13" s="6" t="s">
        <v>190</v>
      </c>
      <c r="E13" s="6" t="s">
        <v>240</v>
      </c>
      <c r="F13" s="9" t="s">
        <v>246</v>
      </c>
      <c r="G13" s="9" t="s">
        <v>274</v>
      </c>
      <c r="H13" s="9" t="s">
        <v>248</v>
      </c>
      <c r="I13" s="6" t="s">
        <v>160</v>
      </c>
      <c r="J13" s="20" t="s">
        <v>161</v>
      </c>
      <c r="N13" s="20"/>
      <c r="T13" s="7" t="n">
        <v>1</v>
      </c>
      <c r="U13" s="9" t="s">
        <v>277</v>
      </c>
    </row>
    <row r="14" customFormat="false" ht="15" hidden="false" customHeight="false" outlineLevel="0" collapsed="false">
      <c r="A14" s="9" t="s">
        <v>187</v>
      </c>
      <c r="B14" s="6" t="s">
        <v>188</v>
      </c>
      <c r="C14" s="6" t="s">
        <v>189</v>
      </c>
      <c r="D14" s="6" t="s">
        <v>190</v>
      </c>
      <c r="E14" s="6" t="s">
        <v>149</v>
      </c>
      <c r="F14" s="9" t="s">
        <v>250</v>
      </c>
      <c r="G14" s="9" t="s">
        <v>161</v>
      </c>
      <c r="H14" s="9" t="s">
        <v>192</v>
      </c>
      <c r="I14" s="6" t="s">
        <v>160</v>
      </c>
      <c r="J14" s="20" t="s">
        <v>161</v>
      </c>
      <c r="N14" s="20"/>
      <c r="T14" s="7" t="n">
        <v>0.6</v>
      </c>
      <c r="U14" s="9" t="s">
        <v>190</v>
      </c>
    </row>
    <row r="15" customFormat="false" ht="15" hidden="false" customHeight="false" outlineLevel="0" collapsed="false">
      <c r="A15" s="10" t="s">
        <v>153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1" t="n">
        <f aca="false">SUM(T5:T14)</f>
        <v>5.5</v>
      </c>
      <c r="U15" s="13"/>
    </row>
    <row r="18" customFormat="false" ht="15" hidden="false" customHeight="false" outlineLevel="0" collapsed="false">
      <c r="A18" s="26" t="s">
        <v>194</v>
      </c>
      <c r="B18" s="26"/>
      <c r="C18" s="26"/>
      <c r="D18" s="26"/>
      <c r="E18" s="26"/>
      <c r="F18" s="26"/>
      <c r="G18" s="26"/>
      <c r="H18" s="26"/>
    </row>
    <row r="19" customFormat="false" ht="32.8" hidden="false" customHeight="false" outlineLevel="0" collapsed="false">
      <c r="A19" s="5" t="s">
        <v>195</v>
      </c>
      <c r="B19" s="5" t="s">
        <v>196</v>
      </c>
      <c r="C19" s="5" t="s">
        <v>100</v>
      </c>
      <c r="D19" s="5" t="s">
        <v>197</v>
      </c>
      <c r="E19" s="5" t="s">
        <v>198</v>
      </c>
      <c r="F19" s="5" t="s">
        <v>112</v>
      </c>
      <c r="G19" s="5" t="s">
        <v>199</v>
      </c>
      <c r="H19" s="5" t="s">
        <v>200</v>
      </c>
    </row>
    <row r="20" customFormat="false" ht="41.75" hidden="false" customHeight="false" outlineLevel="0" collapsed="false">
      <c r="A20" s="6" t="s">
        <v>201</v>
      </c>
      <c r="B20" s="9" t="s">
        <v>278</v>
      </c>
      <c r="C20" s="6" t="s">
        <v>279</v>
      </c>
      <c r="D20" s="9" t="s">
        <v>210</v>
      </c>
      <c r="E20" s="20" t="n">
        <v>2</v>
      </c>
      <c r="F20" s="14" t="n">
        <v>300000</v>
      </c>
      <c r="G20" s="14" t="n">
        <v>250000</v>
      </c>
      <c r="H20" s="14" t="n">
        <f aca="false">E20*G20</f>
        <v>500000</v>
      </c>
    </row>
    <row r="21" customFormat="false" ht="41.75" hidden="false" customHeight="false" outlineLevel="0" collapsed="false">
      <c r="A21" s="6" t="s">
        <v>205</v>
      </c>
      <c r="B21" s="9" t="s">
        <v>206</v>
      </c>
      <c r="C21" s="6" t="s">
        <v>138</v>
      </c>
      <c r="D21" s="9" t="s">
        <v>210</v>
      </c>
      <c r="E21" s="20" t="n">
        <v>20</v>
      </c>
      <c r="F21" s="14" t="n">
        <v>400000</v>
      </c>
      <c r="G21" s="14" t="n">
        <v>40000</v>
      </c>
      <c r="H21" s="14" t="n">
        <f aca="false">E21*G21</f>
        <v>800000</v>
      </c>
    </row>
    <row r="22" customFormat="false" ht="28.35" hidden="false" customHeight="false" outlineLevel="0" collapsed="false">
      <c r="A22" s="6" t="s">
        <v>208</v>
      </c>
      <c r="B22" s="9" t="s">
        <v>280</v>
      </c>
      <c r="C22" s="6" t="s">
        <v>138</v>
      </c>
      <c r="D22" s="9" t="s">
        <v>281</v>
      </c>
      <c r="E22" s="20" t="n">
        <v>70</v>
      </c>
      <c r="F22" s="14" t="n">
        <v>350000</v>
      </c>
      <c r="G22" s="14" t="n">
        <v>10000</v>
      </c>
      <c r="H22" s="14" t="n">
        <f aca="false">E22*G22</f>
        <v>700000</v>
      </c>
    </row>
    <row r="23" customFormat="false" ht="15" hidden="false" customHeight="false" outlineLevel="0" collapsed="false">
      <c r="A23" s="10" t="s">
        <v>211</v>
      </c>
      <c r="B23" s="13"/>
      <c r="C23" s="13"/>
      <c r="D23" s="13"/>
      <c r="E23" s="13"/>
      <c r="F23" s="13"/>
      <c r="G23" s="13"/>
      <c r="H23" s="27" t="n">
        <f aca="false">SUM(H20:H22)</f>
        <v>2000000</v>
      </c>
    </row>
    <row r="26" customFormat="false" ht="15" hidden="false" customHeight="false" outlineLevel="0" collapsed="false">
      <c r="A26" s="26" t="s">
        <v>212</v>
      </c>
      <c r="B26" s="26"/>
      <c r="C26" s="26"/>
      <c r="D26" s="26"/>
      <c r="E26" s="26"/>
      <c r="F26" s="26"/>
      <c r="G26" s="26"/>
      <c r="H26" s="26"/>
    </row>
    <row r="27" customFormat="false" ht="22.35" hidden="false" customHeight="false" outlineLevel="0" collapsed="false">
      <c r="A27" s="5" t="s">
        <v>213</v>
      </c>
      <c r="B27" s="5" t="s">
        <v>214</v>
      </c>
      <c r="C27" s="5" t="s">
        <v>215</v>
      </c>
      <c r="D27" s="5" t="s">
        <v>216</v>
      </c>
      <c r="E27" s="5" t="s">
        <v>217</v>
      </c>
      <c r="F27" s="5" t="s">
        <v>218</v>
      </c>
      <c r="G27" s="5" t="s">
        <v>219</v>
      </c>
      <c r="H27" s="5" t="s">
        <v>220</v>
      </c>
    </row>
    <row r="28" customFormat="false" ht="82.05" hidden="false" customHeight="false" outlineLevel="0" collapsed="false">
      <c r="A28" s="6" t="s">
        <v>282</v>
      </c>
      <c r="B28" s="9" t="s">
        <v>283</v>
      </c>
      <c r="C28" s="9" t="s">
        <v>284</v>
      </c>
      <c r="D28" s="6" t="s">
        <v>285</v>
      </c>
      <c r="E28" s="20"/>
      <c r="F28" s="20"/>
      <c r="G28" s="14"/>
      <c r="H28" s="14" t="n">
        <v>7000000</v>
      </c>
    </row>
    <row r="29" customFormat="false" ht="95.5" hidden="false" customHeight="false" outlineLevel="0" collapsed="false">
      <c r="A29" s="6" t="s">
        <v>282</v>
      </c>
      <c r="B29" s="9" t="s">
        <v>286</v>
      </c>
      <c r="C29" s="9" t="s">
        <v>287</v>
      </c>
      <c r="D29" s="6" t="s">
        <v>288</v>
      </c>
      <c r="E29" s="20"/>
      <c r="F29" s="20"/>
      <c r="G29" s="14"/>
      <c r="H29" s="14" t="n">
        <v>3000000</v>
      </c>
    </row>
    <row r="30" customFormat="false" ht="15" hidden="false" customHeight="false" outlineLevel="0" collapsed="false">
      <c r="A30" s="10" t="s">
        <v>227</v>
      </c>
      <c r="B30" s="13"/>
      <c r="C30" s="13"/>
      <c r="D30" s="13"/>
      <c r="E30" s="13"/>
      <c r="F30" s="13"/>
      <c r="G30" s="13"/>
      <c r="H30" s="27" t="n">
        <f aca="false">SUM(H28:H29)</f>
        <v>10000000</v>
      </c>
    </row>
    <row r="33" customFormat="false" ht="15" hidden="false" customHeight="false" outlineLevel="0" collapsed="false">
      <c r="A33" s="26" t="s">
        <v>289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</row>
    <row r="34" customFormat="false" ht="15" hidden="false" customHeight="true" outlineLevel="0" collapsed="false">
      <c r="A34" s="16" t="s">
        <v>290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customFormat="false" ht="43.25" hidden="false" customHeight="false" outlineLevel="0" collapsed="false">
      <c r="A35" s="5" t="s">
        <v>100</v>
      </c>
      <c r="B35" s="5" t="s">
        <v>291</v>
      </c>
      <c r="C35" s="5" t="s">
        <v>104</v>
      </c>
      <c r="D35" s="5" t="s">
        <v>105</v>
      </c>
      <c r="E35" s="5" t="s">
        <v>107</v>
      </c>
      <c r="F35" s="5" t="s">
        <v>108</v>
      </c>
      <c r="G35" s="5" t="s">
        <v>109</v>
      </c>
      <c r="H35" s="5" t="s">
        <v>114</v>
      </c>
      <c r="I35" s="5" t="s">
        <v>115</v>
      </c>
      <c r="J35" s="5" t="s">
        <v>116</v>
      </c>
      <c r="K35" s="5" t="s">
        <v>292</v>
      </c>
      <c r="L35" s="5" t="s">
        <v>293</v>
      </c>
      <c r="M35" s="5" t="s">
        <v>294</v>
      </c>
      <c r="N35" s="5" t="s">
        <v>119</v>
      </c>
    </row>
    <row r="36" customFormat="false" ht="82.05" hidden="false" customHeight="false" outlineLevel="0" collapsed="false">
      <c r="A36" s="6" t="s">
        <v>295</v>
      </c>
      <c r="B36" s="6" t="s">
        <v>296</v>
      </c>
      <c r="C36" s="6" t="s">
        <v>149</v>
      </c>
      <c r="D36" s="9" t="s">
        <v>297</v>
      </c>
      <c r="E36" s="9" t="s">
        <v>298</v>
      </c>
      <c r="F36" s="6" t="s">
        <v>144</v>
      </c>
      <c r="G36" s="20" t="n">
        <v>14</v>
      </c>
      <c r="H36" s="14" t="n">
        <f aca="false">I36/Assumptions!$B$17</f>
        <v>29761904.7619048</v>
      </c>
      <c r="I36" s="14" t="n">
        <f aca="false">N36*10000000/G36</f>
        <v>357142.857142857</v>
      </c>
      <c r="J36" s="23" t="n">
        <f aca="false">I36/H36</f>
        <v>0.012</v>
      </c>
      <c r="K36" s="14" t="n">
        <f aca="false">I36*Assumptions!$B$20</f>
        <v>14285.7142857143</v>
      </c>
      <c r="L36" s="19" t="n">
        <f aca="false">Assumptions!$B$20</f>
        <v>0.04</v>
      </c>
      <c r="M36" s="14" t="n">
        <f aca="false">N36*10000000/K36</f>
        <v>350</v>
      </c>
      <c r="N36" s="7" t="n">
        <v>0.5</v>
      </c>
    </row>
    <row r="38" customFormat="false" ht="15" hidden="false" customHeight="false" outlineLevel="0" collapsed="false">
      <c r="A38" s="24" t="s">
        <v>154</v>
      </c>
      <c r="B38" s="25" t="n">
        <v>7.2</v>
      </c>
      <c r="C38" s="3" t="s">
        <v>155</v>
      </c>
    </row>
  </sheetData>
  <mergeCells count="6">
    <mergeCell ref="A1:U1"/>
    <mergeCell ref="K3:S3"/>
    <mergeCell ref="A18:H18"/>
    <mergeCell ref="A26:H26"/>
    <mergeCell ref="A33:N33"/>
    <mergeCell ref="A34:N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6" min="3" style="0" width="9"/>
    <col collapsed="false" customWidth="true" hidden="false" outlineLevel="0" max="7" min="7" style="0" width="11"/>
  </cols>
  <sheetData>
    <row r="1" customFormat="false" ht="16.15" hidden="false" customHeight="false" outlineLevel="0" collapsed="false">
      <c r="A1" s="21" t="s">
        <v>299</v>
      </c>
      <c r="B1" s="21"/>
      <c r="C1" s="21"/>
      <c r="D1" s="21"/>
      <c r="E1" s="21"/>
      <c r="F1" s="21"/>
      <c r="G1" s="21"/>
    </row>
    <row r="3" customFormat="false" ht="15" hidden="false" customHeight="false" outlineLevel="0" collapsed="false">
      <c r="A3" s="5" t="s">
        <v>300</v>
      </c>
      <c r="B3" s="5" t="s">
        <v>108</v>
      </c>
      <c r="C3" s="5" t="s">
        <v>301</v>
      </c>
      <c r="D3" s="5" t="s">
        <v>302</v>
      </c>
      <c r="E3" s="5" t="s">
        <v>303</v>
      </c>
      <c r="F3" s="5" t="s">
        <v>304</v>
      </c>
      <c r="G3" s="5" t="s">
        <v>305</v>
      </c>
    </row>
    <row r="4" customFormat="false" ht="15" hidden="false" customHeight="false" outlineLevel="0" collapsed="false">
      <c r="A4" s="28" t="s">
        <v>306</v>
      </c>
      <c r="B4" s="29"/>
      <c r="C4" s="29"/>
      <c r="D4" s="29"/>
      <c r="E4" s="29"/>
      <c r="F4" s="29"/>
      <c r="G4" s="29"/>
    </row>
    <row r="5" customFormat="false" ht="15" hidden="false" customHeight="false" outlineLevel="0" collapsed="false">
      <c r="A5" s="9" t="s">
        <v>157</v>
      </c>
      <c r="B5" s="6" t="s">
        <v>160</v>
      </c>
      <c r="C5" s="7" t="s">
        <v>161</v>
      </c>
      <c r="D5" s="7" t="n">
        <v>0.5</v>
      </c>
      <c r="E5" s="7" t="s">
        <v>161</v>
      </c>
      <c r="F5" s="7" t="s">
        <v>161</v>
      </c>
      <c r="G5" s="7" t="n">
        <f aca="false">SUM(C5:F5)</f>
        <v>0.5</v>
      </c>
    </row>
    <row r="6" customFormat="false" ht="15" hidden="false" customHeight="false" outlineLevel="0" collapsed="false">
      <c r="A6" s="9" t="s">
        <v>163</v>
      </c>
      <c r="B6" s="6" t="s">
        <v>160</v>
      </c>
      <c r="C6" s="7" t="s">
        <v>161</v>
      </c>
      <c r="D6" s="7" t="n">
        <v>1</v>
      </c>
      <c r="E6" s="7" t="s">
        <v>161</v>
      </c>
      <c r="F6" s="7" t="s">
        <v>161</v>
      </c>
      <c r="G6" s="7" t="n">
        <f aca="false">SUM(C6:F6)</f>
        <v>1</v>
      </c>
    </row>
    <row r="7" customFormat="false" ht="28.35" hidden="false" customHeight="false" outlineLevel="0" collapsed="false">
      <c r="A7" s="9" t="s">
        <v>307</v>
      </c>
      <c r="B7" s="6" t="s">
        <v>308</v>
      </c>
      <c r="C7" s="7" t="s">
        <v>161</v>
      </c>
      <c r="D7" s="7" t="n">
        <v>1</v>
      </c>
      <c r="E7" s="7" t="n">
        <v>0.5</v>
      </c>
      <c r="F7" s="7" t="n">
        <v>1</v>
      </c>
      <c r="G7" s="7" t="n">
        <f aca="false">SUM(C7:F7)</f>
        <v>2.5</v>
      </c>
    </row>
    <row r="8" customFormat="false" ht="28.35" hidden="false" customHeight="false" outlineLevel="0" collapsed="false">
      <c r="A8" s="9" t="s">
        <v>309</v>
      </c>
      <c r="B8" s="6" t="s">
        <v>310</v>
      </c>
      <c r="C8" s="7" t="n">
        <v>1</v>
      </c>
      <c r="D8" s="7" t="n">
        <v>2</v>
      </c>
      <c r="E8" s="7" t="n">
        <v>2.7</v>
      </c>
      <c r="F8" s="7" t="n">
        <v>0.8</v>
      </c>
      <c r="G8" s="7" t="n">
        <f aca="false">SUM(C8:F8)</f>
        <v>6.5</v>
      </c>
    </row>
    <row r="9" customFormat="false" ht="15" hidden="false" customHeight="false" outlineLevel="0" collapsed="false">
      <c r="A9" s="28" t="s">
        <v>311</v>
      </c>
      <c r="B9" s="29"/>
      <c r="C9" s="29"/>
      <c r="D9" s="29"/>
      <c r="E9" s="29"/>
      <c r="F9" s="29"/>
      <c r="G9" s="29"/>
    </row>
    <row r="10" customFormat="false" ht="15" hidden="false" customHeight="false" outlineLevel="0" collapsed="false">
      <c r="A10" s="9" t="s">
        <v>171</v>
      </c>
      <c r="B10" s="6" t="s">
        <v>160</v>
      </c>
      <c r="C10" s="7" t="s">
        <v>161</v>
      </c>
      <c r="D10" s="7" t="n">
        <v>0.5</v>
      </c>
      <c r="E10" s="7" t="n">
        <v>0.7</v>
      </c>
      <c r="F10" s="7" t="n">
        <v>0.3</v>
      </c>
      <c r="G10" s="7" t="n">
        <f aca="false">SUM(C10:F10)</f>
        <v>1.5</v>
      </c>
    </row>
    <row r="11" customFormat="false" ht="15" hidden="false" customHeight="false" outlineLevel="0" collapsed="false">
      <c r="A11" s="9" t="s">
        <v>312</v>
      </c>
      <c r="B11" s="6" t="s">
        <v>313</v>
      </c>
      <c r="C11" s="7" t="s">
        <v>161</v>
      </c>
      <c r="D11" s="7" t="n">
        <v>0.8</v>
      </c>
      <c r="E11" s="7" t="n">
        <v>1</v>
      </c>
      <c r="F11" s="7" t="n">
        <v>0.2</v>
      </c>
      <c r="G11" s="7" t="n">
        <f aca="false">SUM(C11:F11)</f>
        <v>2</v>
      </c>
    </row>
    <row r="12" customFormat="false" ht="15" hidden="false" customHeight="false" outlineLevel="0" collapsed="false">
      <c r="A12" s="9" t="s">
        <v>314</v>
      </c>
      <c r="B12" s="6" t="s">
        <v>144</v>
      </c>
      <c r="C12" s="7" t="n">
        <v>0.5</v>
      </c>
      <c r="D12" s="7" t="n">
        <v>1.2</v>
      </c>
      <c r="E12" s="7" t="n">
        <v>1.5</v>
      </c>
      <c r="F12" s="7" t="n">
        <v>0.3</v>
      </c>
      <c r="G12" s="7" t="n">
        <f aca="false">SUM(C12:F12)</f>
        <v>3.5</v>
      </c>
    </row>
    <row r="13" customFormat="false" ht="15" hidden="false" customHeight="false" outlineLevel="0" collapsed="false">
      <c r="A13" s="28" t="s">
        <v>315</v>
      </c>
      <c r="B13" s="29"/>
      <c r="C13" s="29"/>
      <c r="D13" s="29"/>
      <c r="E13" s="29"/>
      <c r="F13" s="29"/>
      <c r="G13" s="29"/>
    </row>
    <row r="14" customFormat="false" ht="15" hidden="false" customHeight="false" outlineLevel="0" collapsed="false">
      <c r="A14" s="9" t="s">
        <v>316</v>
      </c>
      <c r="B14" s="6" t="s">
        <v>144</v>
      </c>
      <c r="C14" s="7" t="n">
        <v>0.3</v>
      </c>
      <c r="D14" s="7" t="n">
        <v>1</v>
      </c>
      <c r="E14" s="7" t="n">
        <v>2.7</v>
      </c>
      <c r="F14" s="7" t="n">
        <v>1</v>
      </c>
      <c r="G14" s="7" t="n">
        <f aca="false">SUM(C14:F14)</f>
        <v>5</v>
      </c>
    </row>
    <row r="15" customFormat="false" ht="15" hidden="false" customHeight="false" outlineLevel="0" collapsed="false">
      <c r="A15" s="9" t="s">
        <v>317</v>
      </c>
      <c r="B15" s="6" t="s">
        <v>144</v>
      </c>
      <c r="C15" s="7" t="s">
        <v>161</v>
      </c>
      <c r="D15" s="7" t="n">
        <v>1</v>
      </c>
      <c r="E15" s="7" t="n">
        <v>2.7</v>
      </c>
      <c r="F15" s="7" t="n">
        <v>0.8</v>
      </c>
      <c r="G15" s="7" t="n">
        <f aca="false">SUM(C15:F15)</f>
        <v>4.5</v>
      </c>
    </row>
    <row r="16" customFormat="false" ht="15" hidden="false" customHeight="false" outlineLevel="0" collapsed="false">
      <c r="A16" s="9" t="s">
        <v>318</v>
      </c>
      <c r="B16" s="6" t="s">
        <v>319</v>
      </c>
      <c r="C16" s="7" t="s">
        <v>161</v>
      </c>
      <c r="D16" s="7" t="n">
        <v>0.5</v>
      </c>
      <c r="E16" s="7" t="n">
        <v>1.6</v>
      </c>
      <c r="F16" s="7" t="n">
        <v>0.4</v>
      </c>
      <c r="G16" s="7" t="n">
        <f aca="false">SUM(C16:F16)</f>
        <v>2.5</v>
      </c>
    </row>
    <row r="17" customFormat="false" ht="15" hidden="false" customHeight="false" outlineLevel="0" collapsed="false">
      <c r="A17" s="9" t="s">
        <v>239</v>
      </c>
      <c r="B17" s="6" t="s">
        <v>160</v>
      </c>
      <c r="C17" s="7" t="s">
        <v>161</v>
      </c>
      <c r="D17" s="7" t="s">
        <v>161</v>
      </c>
      <c r="E17" s="7" t="n">
        <v>1.7</v>
      </c>
      <c r="F17" s="7" t="n">
        <v>0.3</v>
      </c>
      <c r="G17" s="7" t="n">
        <f aca="false">SUM(C17:F17)</f>
        <v>2</v>
      </c>
    </row>
    <row r="18" customFormat="false" ht="15" hidden="false" customHeight="false" outlineLevel="0" collapsed="false">
      <c r="A18" s="9" t="s">
        <v>320</v>
      </c>
      <c r="B18" s="6" t="s">
        <v>144</v>
      </c>
      <c r="C18" s="7" t="s">
        <v>161</v>
      </c>
      <c r="D18" s="7" t="s">
        <v>161</v>
      </c>
      <c r="E18" s="7" t="s">
        <v>161</v>
      </c>
      <c r="F18" s="7" t="n">
        <v>0.5</v>
      </c>
      <c r="G18" s="7" t="n">
        <f aca="false">SUM(C18:F18)</f>
        <v>0.5</v>
      </c>
    </row>
    <row r="19" customFormat="false" ht="15" hidden="false" customHeight="false" outlineLevel="0" collapsed="false">
      <c r="A19" s="28" t="s">
        <v>321</v>
      </c>
      <c r="B19" s="29"/>
      <c r="C19" s="29"/>
      <c r="D19" s="29"/>
      <c r="E19" s="29"/>
      <c r="F19" s="29"/>
      <c r="G19" s="29"/>
    </row>
    <row r="20" customFormat="false" ht="15" hidden="false" customHeight="false" outlineLevel="0" collapsed="false">
      <c r="A20" s="9" t="s">
        <v>322</v>
      </c>
      <c r="B20" s="6" t="s">
        <v>160</v>
      </c>
      <c r="C20" s="7" t="s">
        <v>161</v>
      </c>
      <c r="D20" s="7" t="s">
        <v>161</v>
      </c>
      <c r="E20" s="7" t="n">
        <v>0.5</v>
      </c>
      <c r="F20" s="7" t="n">
        <v>1</v>
      </c>
      <c r="G20" s="7" t="n">
        <f aca="false">SUM(C20:F20)</f>
        <v>1.5</v>
      </c>
    </row>
    <row r="21" customFormat="false" ht="15" hidden="false" customHeight="false" outlineLevel="0" collapsed="false">
      <c r="A21" s="9" t="s">
        <v>323</v>
      </c>
      <c r="B21" s="6" t="s">
        <v>133</v>
      </c>
      <c r="C21" s="7" t="s">
        <v>161</v>
      </c>
      <c r="D21" s="7" t="n">
        <v>0.3</v>
      </c>
      <c r="E21" s="7" t="n">
        <v>0.6</v>
      </c>
      <c r="F21" s="7" t="n">
        <v>0.6</v>
      </c>
      <c r="G21" s="7" t="n">
        <f aca="false">SUM(C21:F21)</f>
        <v>1.5</v>
      </c>
    </row>
    <row r="22" customFormat="false" ht="15" hidden="false" customHeight="false" outlineLevel="0" collapsed="false">
      <c r="A22" s="10" t="s">
        <v>324</v>
      </c>
      <c r="B22" s="13"/>
      <c r="C22" s="11" t="n">
        <f aca="false">SUM(C5,C6,C7,C8,C10,C11,C12,C14,C15,C16,C17,C18,C20,C21)</f>
        <v>1.8</v>
      </c>
      <c r="D22" s="11" t="n">
        <f aca="false">SUM(D5,D6,D7,D8,D10,D11,D12,D14,D15,D16,D17,D18,D20,D21)</f>
        <v>9.8</v>
      </c>
      <c r="E22" s="11" t="n">
        <f aca="false">SUM(E5,E6,E7,E8,E10,E11,E12,E14,E15,E16,E17,E18,E20,E21)</f>
        <v>16.2</v>
      </c>
      <c r="F22" s="11" t="n">
        <f aca="false">SUM(F5,F6,F7,F8,F10,F11,F12,F14,F15,F16,F17,F18,F20,F21)</f>
        <v>7.2</v>
      </c>
      <c r="G22" s="11" t="n">
        <f aca="false">SUM(G5,G6,G7,G8,G10,G11,G12,G14,G15,G16,G17,G18,G20,G21)</f>
        <v>35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13" min="2" style="0" width="5"/>
  </cols>
  <sheetData>
    <row r="1" customFormat="false" ht="16.15" hidden="false" customHeight="false" outlineLevel="0" collapsed="false">
      <c r="A1" s="21" t="s">
        <v>325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3" customFormat="false" ht="15" hidden="false" customHeight="false" outlineLevel="0" collapsed="false">
      <c r="A3" s="30" t="s">
        <v>326</v>
      </c>
      <c r="B3" s="30" t="s">
        <v>327</v>
      </c>
      <c r="C3" s="30" t="s">
        <v>328</v>
      </c>
      <c r="D3" s="30" t="s">
        <v>329</v>
      </c>
      <c r="E3" s="30" t="s">
        <v>330</v>
      </c>
      <c r="F3" s="30" t="s">
        <v>331</v>
      </c>
      <c r="G3" s="30" t="s">
        <v>332</v>
      </c>
      <c r="H3" s="30" t="s">
        <v>333</v>
      </c>
      <c r="I3" s="30" t="s">
        <v>334</v>
      </c>
      <c r="J3" s="30" t="s">
        <v>335</v>
      </c>
      <c r="K3" s="30" t="s">
        <v>336</v>
      </c>
      <c r="L3" s="30" t="s">
        <v>337</v>
      </c>
      <c r="M3" s="30" t="s">
        <v>338</v>
      </c>
    </row>
    <row r="4" customFormat="false" ht="15" hidden="false" customHeight="false" outlineLevel="0" collapsed="false">
      <c r="A4" s="31" t="s">
        <v>146</v>
      </c>
      <c r="B4" s="32"/>
      <c r="C4" s="32"/>
      <c r="D4" s="32"/>
      <c r="E4" s="32"/>
      <c r="F4" s="33"/>
      <c r="G4" s="33"/>
      <c r="H4" s="34"/>
      <c r="I4" s="34"/>
      <c r="J4" s="34"/>
      <c r="K4" s="34"/>
      <c r="L4" s="32"/>
      <c r="M4" s="32"/>
    </row>
    <row r="5" customFormat="false" ht="15" hidden="false" customHeight="false" outlineLevel="0" collapsed="false">
      <c r="A5" s="31" t="s">
        <v>339</v>
      </c>
      <c r="B5" s="35"/>
      <c r="C5" s="35"/>
      <c r="D5" s="32"/>
      <c r="E5" s="33"/>
      <c r="F5" s="33"/>
      <c r="G5" s="34"/>
      <c r="H5" s="34"/>
      <c r="I5" s="34"/>
      <c r="J5" s="33"/>
      <c r="K5" s="33"/>
      <c r="L5" s="32"/>
      <c r="M5" s="32"/>
    </row>
    <row r="6" customFormat="false" ht="15" hidden="false" customHeight="false" outlineLevel="0" collapsed="false">
      <c r="A6" s="31" t="s">
        <v>121</v>
      </c>
      <c r="B6" s="35"/>
      <c r="C6" s="35"/>
      <c r="D6" s="35"/>
      <c r="E6" s="32"/>
      <c r="F6" s="33"/>
      <c r="G6" s="34"/>
      <c r="H6" s="34"/>
      <c r="I6" s="33"/>
      <c r="J6" s="32"/>
      <c r="K6" s="32"/>
      <c r="L6" s="32"/>
      <c r="M6" s="32"/>
    </row>
    <row r="7" customFormat="false" ht="15" hidden="false" customHeight="false" outlineLevel="0" collapsed="false">
      <c r="A7" s="31" t="s">
        <v>230</v>
      </c>
      <c r="B7" s="35"/>
      <c r="C7" s="35"/>
      <c r="D7" s="35"/>
      <c r="E7" s="35"/>
      <c r="F7" s="32"/>
      <c r="G7" s="33"/>
      <c r="H7" s="34"/>
      <c r="I7" s="33"/>
      <c r="J7" s="32"/>
      <c r="K7" s="32"/>
      <c r="L7" s="35"/>
      <c r="M7" s="35"/>
    </row>
    <row r="8" customFormat="false" ht="15" hidden="false" customHeight="false" outlineLevel="0" collapsed="false">
      <c r="A8" s="31" t="s">
        <v>340</v>
      </c>
      <c r="B8" s="35"/>
      <c r="C8" s="35"/>
      <c r="D8" s="35"/>
      <c r="E8" s="32"/>
      <c r="F8" s="32"/>
      <c r="G8" s="34"/>
      <c r="H8" s="34"/>
      <c r="I8" s="32"/>
      <c r="J8" s="32"/>
      <c r="K8" s="35"/>
      <c r="L8" s="32"/>
      <c r="M8" s="35"/>
    </row>
    <row r="9" customFormat="false" ht="15" hidden="false" customHeight="false" outlineLevel="0" collapsed="false">
      <c r="A9" s="31" t="s">
        <v>341</v>
      </c>
      <c r="B9" s="35"/>
      <c r="C9" s="35"/>
      <c r="D9" s="35"/>
      <c r="E9" s="35"/>
      <c r="F9" s="32"/>
      <c r="G9" s="34"/>
      <c r="H9" s="33"/>
      <c r="I9" s="35"/>
      <c r="J9" s="35"/>
      <c r="K9" s="35"/>
      <c r="L9" s="34"/>
      <c r="M9" s="33"/>
    </row>
    <row r="10" customFormat="false" ht="15" hidden="false" customHeight="false" outlineLevel="0" collapsed="false">
      <c r="A10" s="31" t="s">
        <v>342</v>
      </c>
      <c r="B10" s="35"/>
      <c r="C10" s="35"/>
      <c r="D10" s="32"/>
      <c r="E10" s="34"/>
      <c r="F10" s="34"/>
      <c r="G10" s="32"/>
      <c r="H10" s="32"/>
      <c r="I10" s="35"/>
      <c r="J10" s="35"/>
      <c r="K10" s="35"/>
      <c r="L10" s="35"/>
      <c r="M10" s="35"/>
    </row>
    <row r="11" customFormat="false" ht="15" hidden="false" customHeight="false" outlineLevel="0" collapsed="false">
      <c r="A11" s="31" t="s">
        <v>239</v>
      </c>
      <c r="B11" s="35"/>
      <c r="C11" s="35"/>
      <c r="D11" s="35"/>
      <c r="E11" s="35"/>
      <c r="F11" s="35"/>
      <c r="G11" s="32"/>
      <c r="H11" s="34"/>
      <c r="I11" s="33"/>
      <c r="J11" s="32"/>
      <c r="K11" s="35"/>
      <c r="L11" s="35"/>
      <c r="M11" s="35"/>
    </row>
    <row r="12" customFormat="false" ht="15" hidden="false" customHeight="false" outlineLevel="0" collapsed="false">
      <c r="A12" s="31" t="s">
        <v>343</v>
      </c>
      <c r="B12" s="35"/>
      <c r="C12" s="35"/>
      <c r="D12" s="35"/>
      <c r="E12" s="35"/>
      <c r="F12" s="35"/>
      <c r="G12" s="35"/>
      <c r="H12" s="32"/>
      <c r="I12" s="33"/>
      <c r="J12" s="33"/>
      <c r="K12" s="33"/>
      <c r="L12" s="33"/>
      <c r="M12" s="32"/>
    </row>
    <row r="13" customFormat="false" ht="15" hidden="false" customHeight="false" outlineLevel="0" collapsed="false">
      <c r="A13" s="31" t="s">
        <v>344</v>
      </c>
      <c r="B13" s="35"/>
      <c r="C13" s="35"/>
      <c r="D13" s="35"/>
      <c r="E13" s="32"/>
      <c r="F13" s="32"/>
      <c r="G13" s="33"/>
      <c r="H13" s="33"/>
      <c r="I13" s="33"/>
      <c r="J13" s="33"/>
      <c r="K13" s="33"/>
      <c r="L13" s="33"/>
      <c r="M13" s="32"/>
    </row>
    <row r="15" customFormat="false" ht="15" hidden="false" customHeight="false" outlineLevel="0" collapsed="false">
      <c r="A15" s="36" t="s">
        <v>345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</row>
  </sheetData>
  <mergeCells count="2">
    <mergeCell ref="A1:M1"/>
    <mergeCell ref="A15:M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24"/>
  </cols>
  <sheetData>
    <row r="1" customFormat="false" ht="16.15" hidden="false" customHeight="false" outlineLevel="0" collapsed="false">
      <c r="A1" s="21" t="s">
        <v>346</v>
      </c>
      <c r="B1" s="21"/>
      <c r="C1" s="21"/>
      <c r="D1" s="21"/>
      <c r="E1" s="21"/>
      <c r="F1" s="21"/>
      <c r="G1" s="21"/>
      <c r="H1" s="21"/>
    </row>
    <row r="3" customFormat="false" ht="15" hidden="false" customHeight="false" outlineLevel="0" collapsed="false">
      <c r="A3" s="5" t="s">
        <v>347</v>
      </c>
      <c r="B3" s="5" t="s">
        <v>348</v>
      </c>
      <c r="C3" s="5" t="s">
        <v>349</v>
      </c>
      <c r="D3" s="5" t="s">
        <v>215</v>
      </c>
      <c r="E3" s="5" t="s">
        <v>350</v>
      </c>
      <c r="F3" s="5" t="s">
        <v>351</v>
      </c>
      <c r="G3" s="5" t="s">
        <v>352</v>
      </c>
      <c r="H3" s="5" t="s">
        <v>353</v>
      </c>
    </row>
    <row r="4" customFormat="false" ht="15" hidden="false" customHeight="false" outlineLevel="0" collapsed="false">
      <c r="A4" s="6" t="s">
        <v>354</v>
      </c>
      <c r="B4" s="6" t="s">
        <v>123</v>
      </c>
      <c r="C4" s="9" t="s">
        <v>355</v>
      </c>
      <c r="D4" s="6" t="s">
        <v>356</v>
      </c>
      <c r="E4" s="9" t="s">
        <v>357</v>
      </c>
      <c r="F4" s="6" t="s">
        <v>358</v>
      </c>
      <c r="G4" s="6" t="s">
        <v>359</v>
      </c>
      <c r="H4" s="9" t="s">
        <v>360</v>
      </c>
    </row>
    <row r="5" customFormat="false" ht="15" hidden="false" customHeight="false" outlineLevel="0" collapsed="false">
      <c r="A5" s="6" t="s">
        <v>354</v>
      </c>
      <c r="B5" s="6" t="s">
        <v>123</v>
      </c>
      <c r="C5" s="9" t="s">
        <v>361</v>
      </c>
      <c r="D5" s="6" t="s">
        <v>362</v>
      </c>
      <c r="E5" s="9" t="s">
        <v>363</v>
      </c>
      <c r="F5" s="6" t="s">
        <v>364</v>
      </c>
      <c r="G5" s="6" t="s">
        <v>149</v>
      </c>
      <c r="H5" s="9" t="s">
        <v>365</v>
      </c>
    </row>
    <row r="6" customFormat="false" ht="28.35" hidden="false" customHeight="false" outlineLevel="0" collapsed="false">
      <c r="A6" s="6" t="s">
        <v>332</v>
      </c>
      <c r="B6" s="6" t="s">
        <v>123</v>
      </c>
      <c r="C6" s="9" t="s">
        <v>366</v>
      </c>
      <c r="D6" s="6" t="s">
        <v>356</v>
      </c>
      <c r="E6" s="9" t="s">
        <v>367</v>
      </c>
      <c r="F6" s="6" t="s">
        <v>368</v>
      </c>
      <c r="G6" s="6" t="s">
        <v>149</v>
      </c>
      <c r="H6" s="9" t="s">
        <v>369</v>
      </c>
    </row>
    <row r="7" customFormat="false" ht="15" hidden="false" customHeight="false" outlineLevel="0" collapsed="false">
      <c r="A7" s="6" t="s">
        <v>332</v>
      </c>
      <c r="B7" s="6" t="s">
        <v>123</v>
      </c>
      <c r="C7" s="9" t="s">
        <v>370</v>
      </c>
      <c r="D7" s="6" t="s">
        <v>356</v>
      </c>
      <c r="E7" s="9" t="s">
        <v>371</v>
      </c>
      <c r="F7" s="6" t="s">
        <v>372</v>
      </c>
      <c r="G7" s="6" t="s">
        <v>373</v>
      </c>
      <c r="H7" s="9" t="s">
        <v>374</v>
      </c>
    </row>
    <row r="8" customFormat="false" ht="15" hidden="false" customHeight="false" outlineLevel="0" collapsed="false">
      <c r="A8" s="6" t="s">
        <v>375</v>
      </c>
      <c r="B8" s="6" t="s">
        <v>140</v>
      </c>
      <c r="C8" s="9" t="s">
        <v>376</v>
      </c>
      <c r="D8" s="6" t="s">
        <v>362</v>
      </c>
      <c r="E8" s="9" t="s">
        <v>377</v>
      </c>
      <c r="F8" s="6" t="s">
        <v>378</v>
      </c>
      <c r="G8" s="6" t="s">
        <v>379</v>
      </c>
      <c r="H8" s="9" t="s">
        <v>380</v>
      </c>
    </row>
    <row r="9" customFormat="false" ht="15" hidden="false" customHeight="false" outlineLevel="0" collapsed="false">
      <c r="A9" s="6" t="s">
        <v>375</v>
      </c>
      <c r="B9" s="6" t="s">
        <v>140</v>
      </c>
      <c r="C9" s="9" t="s">
        <v>381</v>
      </c>
      <c r="D9" s="6" t="s">
        <v>362</v>
      </c>
      <c r="E9" s="9" t="s">
        <v>382</v>
      </c>
      <c r="F9" s="6" t="s">
        <v>383</v>
      </c>
      <c r="G9" s="6" t="s">
        <v>384</v>
      </c>
      <c r="H9" s="9" t="s">
        <v>385</v>
      </c>
    </row>
    <row r="10" customFormat="false" ht="15" hidden="false" customHeight="false" outlineLevel="0" collapsed="false">
      <c r="A10" s="6" t="s">
        <v>375</v>
      </c>
      <c r="B10" s="6" t="s">
        <v>140</v>
      </c>
      <c r="C10" s="9" t="s">
        <v>386</v>
      </c>
      <c r="D10" s="6" t="s">
        <v>362</v>
      </c>
      <c r="E10" s="9" t="s">
        <v>387</v>
      </c>
      <c r="F10" s="6" t="s">
        <v>388</v>
      </c>
      <c r="G10" s="6" t="s">
        <v>384</v>
      </c>
      <c r="H10" s="9" t="s">
        <v>191</v>
      </c>
    </row>
    <row r="11" customFormat="false" ht="15" hidden="false" customHeight="false" outlineLevel="0" collapsed="false">
      <c r="A11" s="6" t="s">
        <v>389</v>
      </c>
      <c r="B11" s="6" t="s">
        <v>148</v>
      </c>
      <c r="C11" s="9" t="s">
        <v>390</v>
      </c>
      <c r="D11" s="6" t="s">
        <v>391</v>
      </c>
      <c r="E11" s="9" t="s">
        <v>392</v>
      </c>
      <c r="F11" s="6" t="s">
        <v>393</v>
      </c>
      <c r="G11" s="6" t="s">
        <v>384</v>
      </c>
      <c r="H11" s="9" t="s">
        <v>394</v>
      </c>
    </row>
    <row r="12" customFormat="false" ht="28.35" hidden="false" customHeight="false" outlineLevel="0" collapsed="false">
      <c r="A12" s="6" t="s">
        <v>389</v>
      </c>
      <c r="B12" s="6" t="s">
        <v>148</v>
      </c>
      <c r="C12" s="9" t="s">
        <v>395</v>
      </c>
      <c r="D12" s="6" t="s">
        <v>391</v>
      </c>
      <c r="E12" s="9" t="s">
        <v>396</v>
      </c>
      <c r="F12" s="6" t="s">
        <v>397</v>
      </c>
      <c r="G12" s="6" t="s">
        <v>384</v>
      </c>
      <c r="H12" s="9" t="s">
        <v>398</v>
      </c>
    </row>
    <row r="13" customFormat="false" ht="15" hidden="false" customHeight="false" outlineLevel="0" collapsed="false">
      <c r="A13" s="6" t="s">
        <v>399</v>
      </c>
      <c r="B13" s="6" t="s">
        <v>148</v>
      </c>
      <c r="C13" s="9" t="s">
        <v>400</v>
      </c>
      <c r="D13" s="6" t="s">
        <v>356</v>
      </c>
      <c r="E13" s="9" t="s">
        <v>401</v>
      </c>
      <c r="F13" s="6" t="s">
        <v>358</v>
      </c>
      <c r="G13" s="6" t="s">
        <v>149</v>
      </c>
      <c r="H13" s="9" t="s">
        <v>402</v>
      </c>
    </row>
    <row r="14" customFormat="false" ht="15" hidden="false" customHeight="false" outlineLevel="0" collapsed="false">
      <c r="A14" s="6" t="s">
        <v>403</v>
      </c>
      <c r="B14" s="6" t="s">
        <v>189</v>
      </c>
      <c r="C14" s="9" t="s">
        <v>404</v>
      </c>
      <c r="D14" s="6" t="s">
        <v>362</v>
      </c>
      <c r="E14" s="9" t="s">
        <v>405</v>
      </c>
      <c r="F14" s="6" t="s">
        <v>406</v>
      </c>
      <c r="G14" s="6" t="s">
        <v>407</v>
      </c>
      <c r="H14" s="9" t="s">
        <v>408</v>
      </c>
    </row>
    <row r="15" customFormat="false" ht="28.35" hidden="false" customHeight="false" outlineLevel="0" collapsed="false">
      <c r="A15" s="6" t="s">
        <v>409</v>
      </c>
      <c r="B15" s="6" t="s">
        <v>189</v>
      </c>
      <c r="C15" s="9" t="s">
        <v>410</v>
      </c>
      <c r="D15" s="6" t="s">
        <v>356</v>
      </c>
      <c r="E15" s="9" t="s">
        <v>411</v>
      </c>
      <c r="F15" s="6" t="s">
        <v>412</v>
      </c>
      <c r="G15" s="6" t="s">
        <v>149</v>
      </c>
      <c r="H15" s="9" t="s">
        <v>413</v>
      </c>
    </row>
    <row r="16" customFormat="false" ht="15" hidden="false" customHeight="false" outlineLevel="0" collapsed="false">
      <c r="A16" s="6" t="s">
        <v>403</v>
      </c>
      <c r="B16" s="6" t="s">
        <v>189</v>
      </c>
      <c r="C16" s="9" t="s">
        <v>414</v>
      </c>
      <c r="D16" s="6" t="s">
        <v>391</v>
      </c>
      <c r="E16" s="9" t="s">
        <v>192</v>
      </c>
      <c r="F16" s="6" t="s">
        <v>388</v>
      </c>
      <c r="G16" s="6" t="s">
        <v>149</v>
      </c>
      <c r="H16" s="9" t="s">
        <v>415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2026-06-24T06:40:10Z</dcterms:created>
  <dc:creator>openpyxl</dc:creator>
  <dc:description/>
  <dc:language>en-US</dc:language>
  <cp:lastModifiedBy/>
  <dcterms:modified xsi:type="dcterms:W3CDTF">2026-06-24T06:40:10Z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